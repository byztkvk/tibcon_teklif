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evu\Desktop\verilen teklifler\"/>
    </mc:Choice>
  </mc:AlternateContent>
  <xr:revisionPtr revIDLastSave="0" documentId="8_{C2247211-7430-4C88-8CD9-FE7E9704CD7D}" xr6:coauthVersionLast="47" xr6:coauthVersionMax="47" xr10:uidLastSave="{00000000-0000-0000-0000-000000000000}"/>
  <bookViews>
    <workbookView xWindow="-120" yWindow="-120" windowWidth="29040" windowHeight="15720" xr2:uid="{07601800-0D5B-499B-808A-0645244F3BF1}"/>
  </bookViews>
  <sheets>
    <sheet name="TEKLİF" sheetId="1" r:id="rId1"/>
  </sheets>
  <externalReferences>
    <externalReference r:id="rId2"/>
  </externalReferences>
  <definedNames>
    <definedName name="_xlnm._FilterDatabase" localSheetId="0" hidden="1">TEKLİF!$A$16:$J$55</definedName>
    <definedName name="VERİ">#REF!</definedName>
    <definedName name="VERİLER">#REF!</definedName>
    <definedName name="_xlnm.Print_Area" localSheetId="0">TEKLİF!$A$1:$J$66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I52" i="1" s="1"/>
  <c r="D52" i="1"/>
  <c r="C52" i="1"/>
  <c r="F52" i="1" s="1"/>
  <c r="H51" i="1"/>
  <c r="I51" i="1" s="1"/>
  <c r="F51" i="1"/>
  <c r="D51" i="1"/>
  <c r="C51" i="1"/>
  <c r="H50" i="1"/>
  <c r="I50" i="1" s="1"/>
  <c r="F50" i="1"/>
  <c r="D50" i="1"/>
  <c r="C50" i="1"/>
  <c r="H49" i="1"/>
  <c r="I49" i="1" s="1"/>
  <c r="C49" i="1"/>
  <c r="F49" i="1" s="1"/>
  <c r="H48" i="1"/>
  <c r="I48" i="1" s="1"/>
  <c r="C48" i="1"/>
  <c r="F48" i="1" s="1"/>
  <c r="H47" i="1"/>
  <c r="I47" i="1" s="1"/>
  <c r="F47" i="1"/>
  <c r="D47" i="1"/>
  <c r="C47" i="1"/>
  <c r="H46" i="1"/>
  <c r="I46" i="1" s="1"/>
  <c r="F46" i="1"/>
  <c r="D46" i="1"/>
  <c r="C46" i="1"/>
  <c r="I53" i="1" l="1"/>
  <c r="I54" i="1" s="1"/>
  <c r="I55" i="1" s="1"/>
  <c r="J53" i="1"/>
  <c r="J54" i="1"/>
  <c r="J55" i="1" s="1"/>
  <c r="D48" i="1"/>
  <c r="D49" i="1"/>
</calcChain>
</file>

<file path=xl/sharedStrings.xml><?xml version="1.0" encoding="utf-8"?>
<sst xmlns="http://schemas.openxmlformats.org/spreadsheetml/2006/main" count="169" uniqueCount="150">
  <si>
    <t>TİBCON ENERJİ TEKNOLOJİLERİ A.Ş.
GÜLALİBEY MH. YENİDOĞAN  4. SK, NO: 4/A ÇORUM / TÜRKİYE 
TEL. : +90 (364) 225 57 69     FAKS: +90 (364) 225 56 57</t>
  </si>
  <si>
    <t>TİBCON ENERJİ TEKNOLOJİLERİ İTH.İML.İNŞ.TAAH.SAN.TİC.A.Ş.</t>
  </si>
  <si>
    <t xml:space="preserve">MERKEZ:Mimarsinan Mah. Ankara Yolu Bulvarı No:21/H  Çorum/Merkez Tel&amp;Fax : +90 (364) 225 57 69     </t>
  </si>
  <si>
    <t>İSTANBUL:Selimiali mah.Cumhuriyet cad.  No: 46 Boğaziçi Plaza kat:5  Üsküdar/ İSTANBUL  Tel : 0 216 706 18 84</t>
  </si>
  <si>
    <t xml:space="preserve">DEPO&amp;SEVK:Mimar Sinan Mah. Ankara Yolu Bulvarı 5.km No:21/H  Çorum/Merkez Tel&amp;Fax : +90 (364) 225 57 69     </t>
  </si>
  <si>
    <t>FİRMA ADI :GALMES PANO</t>
  </si>
  <si>
    <t>GÖNDEREN:</t>
  </si>
  <si>
    <t>BESTAMİ KEVÜK</t>
  </si>
  <si>
    <t>İLGİLİ :MERT BEY</t>
  </si>
  <si>
    <t>TELEFON:</t>
  </si>
  <si>
    <t>TARİH : 30/01/2026</t>
  </si>
  <si>
    <t>E-MAİL:</t>
  </si>
  <si>
    <t>b.kevuk@tibcon.com.tr</t>
  </si>
  <si>
    <t>Cep:</t>
  </si>
  <si>
    <t>PROFORMA INVOICE</t>
  </si>
  <si>
    <t>S.No</t>
  </si>
  <si>
    <t>SİPARİŞ KODU</t>
  </si>
  <si>
    <t>ÜRÜN KODU</t>
  </si>
  <si>
    <t>AÇIKLAMASI</t>
  </si>
  <si>
    <t>Adet</t>
  </si>
  <si>
    <t>Birim Fiyat</t>
  </si>
  <si>
    <t>İskonto</t>
  </si>
  <si>
    <t>NET Fiyat</t>
  </si>
  <si>
    <t>Tutar</t>
  </si>
  <si>
    <t>Teslim</t>
  </si>
  <si>
    <t>1.</t>
  </si>
  <si>
    <t>TBC1300</t>
  </si>
  <si>
    <t>2.</t>
  </si>
  <si>
    <t>TBC1301</t>
  </si>
  <si>
    <t>3.</t>
  </si>
  <si>
    <t>TBC1302</t>
  </si>
  <si>
    <t>4.</t>
  </si>
  <si>
    <t>TBC1306</t>
  </si>
  <si>
    <t>5.</t>
  </si>
  <si>
    <t>TBC1308</t>
  </si>
  <si>
    <t>6.</t>
  </si>
  <si>
    <t>TBK4001</t>
  </si>
  <si>
    <t>7.</t>
  </si>
  <si>
    <t>TBK4003</t>
  </si>
  <si>
    <t>8.</t>
  </si>
  <si>
    <t>TBK4005</t>
  </si>
  <si>
    <t>9.</t>
  </si>
  <si>
    <t>TBK4008</t>
  </si>
  <si>
    <t>10.</t>
  </si>
  <si>
    <t>TBNH4200</t>
  </si>
  <si>
    <t>11.</t>
  </si>
  <si>
    <t>TBNH4201</t>
  </si>
  <si>
    <t>12.</t>
  </si>
  <si>
    <t>TBNH4203</t>
  </si>
  <si>
    <t>13.</t>
  </si>
  <si>
    <t>TBNH4205</t>
  </si>
  <si>
    <t>14.</t>
  </si>
  <si>
    <t>TBNH4206</t>
  </si>
  <si>
    <t>15.</t>
  </si>
  <si>
    <t>TBNH4208</t>
  </si>
  <si>
    <t>16.</t>
  </si>
  <si>
    <t>TBNYA4300</t>
  </si>
  <si>
    <t>17.</t>
  </si>
  <si>
    <t>18.</t>
  </si>
  <si>
    <t>19.</t>
  </si>
  <si>
    <t>20.</t>
  </si>
  <si>
    <t>21.</t>
  </si>
  <si>
    <t>TBHR5203</t>
  </si>
  <si>
    <t>22.</t>
  </si>
  <si>
    <t>TBHR5206</t>
  </si>
  <si>
    <t>23.</t>
  </si>
  <si>
    <t>TBHR5209</t>
  </si>
  <si>
    <t>24.</t>
  </si>
  <si>
    <t>TBHR5215</t>
  </si>
  <si>
    <t>25.</t>
  </si>
  <si>
    <t>TBHR5219</t>
  </si>
  <si>
    <t>26.</t>
  </si>
  <si>
    <t>TBHR5226</t>
  </si>
  <si>
    <t>27.</t>
  </si>
  <si>
    <t>TBSR5412</t>
  </si>
  <si>
    <t>28.</t>
  </si>
  <si>
    <t>TBSR5608</t>
  </si>
  <si>
    <t>29.</t>
  </si>
  <si>
    <t>TBSR5611</t>
  </si>
  <si>
    <t>30.</t>
  </si>
  <si>
    <t>31.</t>
  </si>
  <si>
    <t>32.</t>
  </si>
  <si>
    <t>33.</t>
  </si>
  <si>
    <t>34.</t>
  </si>
  <si>
    <t>35.</t>
  </si>
  <si>
    <t>36.</t>
  </si>
  <si>
    <t>ARA TOPLAM</t>
  </si>
  <si>
    <t>KDV%20</t>
  </si>
  <si>
    <t>GENEL TOPLAM</t>
  </si>
  <si>
    <t>SATIŞ ŞARTLARI :</t>
  </si>
  <si>
    <t>TEKLİF ONAYI</t>
  </si>
  <si>
    <t xml:space="preserve">ÖDEME </t>
  </si>
  <si>
    <t xml:space="preserve">120 Gün Vade </t>
  </si>
  <si>
    <t>TESLİMAT</t>
  </si>
  <si>
    <t>UPS Kargo Teslim</t>
  </si>
  <si>
    <t>NOT</t>
  </si>
  <si>
    <t xml:space="preserve">OPSİYON </t>
  </si>
  <si>
    <t xml:space="preserve">Tekliflerimiz 1 Gün Geçerlidir. </t>
  </si>
  <si>
    <t>TESLİM YERİ</t>
  </si>
  <si>
    <t>CYL-2.5-440-PİN</t>
  </si>
  <si>
    <t xml:space="preserve">2,5 KVAR 440V SİLİNDİR </t>
  </si>
  <si>
    <t>HD-CYL-5-440-SCR</t>
  </si>
  <si>
    <t xml:space="preserve">5 KVAR 440V SİLİNDİR </t>
  </si>
  <si>
    <t>HD-CYL-7.5-440-SCR</t>
  </si>
  <si>
    <t xml:space="preserve">7,5 KVAR 440V SİLİNDİR </t>
  </si>
  <si>
    <t>HD-CYL-15-440-SCR</t>
  </si>
  <si>
    <t xml:space="preserve">15 KVAR 440V SİLİNDİR </t>
  </si>
  <si>
    <t>HD-CYL-25-440-SCR</t>
  </si>
  <si>
    <t xml:space="preserve">25 KVAR 440V SİLİNDİR </t>
  </si>
  <si>
    <t>TBC1D10K02U7</t>
  </si>
  <si>
    <t>CONTACTOR 10K</t>
  </si>
  <si>
    <t>TBC1D16K02U7</t>
  </si>
  <si>
    <t>CONTACTOR 16K</t>
  </si>
  <si>
    <t>TBC1D25K02U7</t>
  </si>
  <si>
    <t>CONTACTOR 25K</t>
  </si>
  <si>
    <t>TBC1D50K12U7</t>
  </si>
  <si>
    <t>CONTACTOR 50K</t>
  </si>
  <si>
    <t>TB-NH00-16</t>
  </si>
  <si>
    <t>16A NH BIÇAKLI SİGORTA</t>
  </si>
  <si>
    <t>TB-NH00-25</t>
  </si>
  <si>
    <t>25A NH BIÇAKLI SİGORTA</t>
  </si>
  <si>
    <t>TB-NH00-40</t>
  </si>
  <si>
    <t>40A NH BIÇAKLI SİGORTA</t>
  </si>
  <si>
    <t>TB-NH00-63</t>
  </si>
  <si>
    <t>63A NH BIÇAKLI SİGORTA</t>
  </si>
  <si>
    <t>TB-NH00-80</t>
  </si>
  <si>
    <t>80A NH BIÇAKLI SİGORTA</t>
  </si>
  <si>
    <t>TB-NH00-125</t>
  </si>
  <si>
    <t>125A NH BIÇAKLI SİGORTA</t>
  </si>
  <si>
    <t>TB00-160</t>
  </si>
  <si>
    <t>160A YÜK AYRICI</t>
  </si>
  <si>
    <t/>
  </si>
  <si>
    <t>HRT-73402,2</t>
  </si>
  <si>
    <t>2,2 KVAR TRİFAZE HARMONİK FİLİTRE %8</t>
  </si>
  <si>
    <t>HRT-73404,4</t>
  </si>
  <si>
    <t>4,44 KVAR TRİFAZE HARMONİK FİLİTRE %7</t>
  </si>
  <si>
    <t>HRT-73406,66</t>
  </si>
  <si>
    <t>6,66 KVAR TRİFAZE HARMONİK FİLİTRE %7</t>
  </si>
  <si>
    <t>HRT-734013,3</t>
  </si>
  <si>
    <t>13,3 KVAR TRİFAZE HARMONİK FİLTRE %7</t>
  </si>
  <si>
    <t>HRT-734022,2</t>
  </si>
  <si>
    <t>22,2 KVAR TRİFAZE HARMONİK FİLİTRE %7</t>
  </si>
  <si>
    <t>HRT-734044</t>
  </si>
  <si>
    <t>44,4 KVAR TRİFAZE HARMONİK FİLİTRE %7</t>
  </si>
  <si>
    <t>TBR-ŞM-10</t>
  </si>
  <si>
    <t>10 KVAR MONOFAZE ŞÖNT REAKTÖRÜ</t>
  </si>
  <si>
    <t>ŞT-405</t>
  </si>
  <si>
    <t>5 KVAR TRİFAZE  ŞÖNT REAKTÖRÜ</t>
  </si>
  <si>
    <t>TBR-ŞT-10</t>
  </si>
  <si>
    <t>10 KVAR TRIFAZE ŞÖNT REAKTÖRÜ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</si>
</sst>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164" formatCode="[&lt;=9999999]###\-####;\(###\)\ ###\-####"/>
    <numFmt numFmtId="165" formatCode="[$$-409]#,##0.00"/>
    <numFmt numFmtId="166" formatCode="&quot;₺&quot;#,##0.00"/>
    <numFmt numFmtId="167" formatCode="_-* #,##0.00\ _T_L_-;\-* #,##0.00\ _T_L_-;_-* &quot;-&quot;??\ _T_L_-;_-@_-"/>
    <numFmt numFmtId="168" formatCode="_-* #,##0.00\ [$₺-41F]_-;\-* #,##0.00\ [$₺-41F]_-;_-* &quot;-&quot;??\ [$₺-41F]_-;_-@_-"/>
    <numFmt numFmtId="169" formatCode="_-* #,##0.00\ &quot;₺&quot;_-;\-* #,##0.00\ &quot;₺&quot;_-;_-* &quot;-&quot;??\ &quot;₺&quot;_-;_-@_-"/>
    <numFmt numFmtId="170" formatCode="dd/mm/yyyy;@"/>
  </numFmts>
  <fonts count="19" x14ac:knownFonts="1">
    <font>
      <sz val="10"/>
      <name val="Arial"/>
      <charset val="162"/>
    </font>
    <font>
      <b/>
      <sz val="14"/>
      <color theme="0"/>
      <name val="Calibri"/>
      <family val="2"/>
      <charset val="162"/>
    </font>
    <font>
      <sz val="12"/>
      <name val="Calibri"/>
      <family val="2"/>
      <charset val="162"/>
    </font>
    <font>
      <b/>
      <sz val="14"/>
      <name val="Calibri"/>
      <family val="2"/>
      <charset val="162"/>
    </font>
    <font>
      <b/>
      <sz val="16"/>
      <name val="Calibri"/>
      <family val="2"/>
      <charset val="162"/>
    </font>
    <font>
      <sz val="16"/>
      <name val="Calibri"/>
      <family val="2"/>
      <charset val="162"/>
    </font>
    <font>
      <b/>
      <sz val="12"/>
      <name val="Calibri"/>
      <family val="2"/>
      <charset val="162"/>
    </font>
    <font>
      <u/>
      <sz val="10"/>
      <color theme="10"/>
      <name val="Arial"/>
      <family val="2"/>
      <charset val="162"/>
    </font>
    <font>
      <b/>
      <sz val="16"/>
      <color theme="0"/>
      <name val="Calibri"/>
      <family val="2"/>
      <charset val="162"/>
    </font>
    <font>
      <b/>
      <u/>
      <sz val="14"/>
      <color theme="0"/>
      <name val="Calibri"/>
      <family val="2"/>
      <charset val="162"/>
    </font>
    <font>
      <b/>
      <sz val="14"/>
      <name val="Calibri"/>
      <family val="2"/>
      <charset val="162"/>
      <scheme val="minor"/>
    </font>
    <font>
      <b/>
      <sz val="14"/>
      <color rgb="FF00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4"/>
      <color rgb="FFFF0000"/>
      <name val="Calibri"/>
      <family val="2"/>
      <charset val="162"/>
      <scheme val="minor"/>
    </font>
    <font>
      <sz val="14"/>
      <name val="Calibri"/>
      <family val="2"/>
      <charset val="162"/>
    </font>
    <font>
      <b/>
      <sz val="14"/>
      <color theme="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left"/>
      <protection locked="0"/>
    </xf>
    <xf numFmtId="3" fontId="6" fillId="2" borderId="0" xfId="0" applyNumberFormat="1" applyFont="1" applyFill="1" applyAlignment="1" applyProtection="1">
      <alignment horizontal="right"/>
      <protection locked="0"/>
    </xf>
    <xf numFmtId="3" fontId="6" fillId="2" borderId="0" xfId="0" applyNumberFormat="1" applyFont="1" applyFill="1" applyAlignment="1" applyProtection="1">
      <alignment horizontal="right"/>
      <protection locked="0"/>
    </xf>
    <xf numFmtId="3" fontId="6" fillId="2" borderId="0" xfId="0" applyNumberFormat="1" applyFont="1" applyFill="1" applyProtection="1">
      <protection locked="0"/>
    </xf>
    <xf numFmtId="3" fontId="6" fillId="2" borderId="0" xfId="0" applyNumberFormat="1" applyFont="1" applyFill="1" applyAlignment="1" applyProtection="1">
      <alignment horizontal="center"/>
      <protection locked="0"/>
    </xf>
    <xf numFmtId="164" fontId="6" fillId="2" borderId="0" xfId="0" applyNumberFormat="1" applyFont="1" applyFill="1" applyProtection="1">
      <protection locked="0"/>
    </xf>
    <xf numFmtId="3" fontId="7" fillId="2" borderId="0" xfId="3" applyNumberFormat="1" applyFill="1" applyBorder="1" applyAlignment="1" applyProtection="1">
      <alignment horizontal="right"/>
      <protection locked="0"/>
    </xf>
    <xf numFmtId="3" fontId="7" fillId="2" borderId="0" xfId="3" applyNumberFormat="1" applyFill="1" applyProtection="1">
      <protection locked="0"/>
    </xf>
    <xf numFmtId="165" fontId="2" fillId="2" borderId="0" xfId="0" applyNumberFormat="1" applyFont="1" applyFill="1" applyAlignment="1" applyProtection="1">
      <alignment horizontal="right"/>
      <protection locked="0"/>
    </xf>
    <xf numFmtId="9" fontId="2" fillId="2" borderId="0" xfId="0" applyNumberFormat="1" applyFont="1" applyFill="1" applyAlignment="1" applyProtection="1">
      <alignment horizontal="center"/>
      <protection locked="0"/>
    </xf>
    <xf numFmtId="4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2" xfId="0" applyFont="1" applyFill="1" applyBorder="1" applyAlignment="1" applyProtection="1">
      <alignment horizontal="center" vertical="center"/>
      <protection locked="0"/>
    </xf>
    <xf numFmtId="0" fontId="8" fillId="3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9" fillId="3" borderId="4" xfId="0" applyFont="1" applyFill="1" applyBorder="1" applyAlignment="1" applyProtection="1">
      <alignment horizontal="center" vertical="center"/>
      <protection locked="0"/>
    </xf>
    <xf numFmtId="3" fontId="9" fillId="3" borderId="4" xfId="0" applyNumberFormat="1" applyFont="1" applyFill="1" applyBorder="1" applyAlignment="1" applyProtection="1">
      <alignment horizontal="center" vertical="center"/>
      <protection locked="0"/>
    </xf>
    <xf numFmtId="165" fontId="9" fillId="3" borderId="4" xfId="0" applyNumberFormat="1" applyFont="1" applyFill="1" applyBorder="1" applyAlignment="1" applyProtection="1">
      <alignment horizontal="right" vertical="center"/>
      <protection locked="0"/>
    </xf>
    <xf numFmtId="9" fontId="9" fillId="3" borderId="4" xfId="0" applyNumberFormat="1" applyFont="1" applyFill="1" applyBorder="1" applyAlignment="1" applyProtection="1">
      <alignment horizontal="center" vertical="center"/>
      <protection locked="0"/>
    </xf>
    <xf numFmtId="4" fontId="9" fillId="3" borderId="4" xfId="0" applyNumberFormat="1" applyFont="1" applyFill="1" applyBorder="1" applyAlignment="1" applyProtection="1">
      <alignment horizontal="center" vertical="center"/>
      <protection locked="0"/>
    </xf>
    <xf numFmtId="4" fontId="9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1" fillId="0" borderId="6" xfId="0" applyFont="1" applyBorder="1" applyAlignment="1" applyProtection="1">
      <alignment horizontal="left"/>
      <protection locked="0"/>
    </xf>
    <xf numFmtId="0" fontId="12" fillId="0" borderId="7" xfId="0" applyFont="1" applyBorder="1" applyAlignment="1" applyProtection="1">
      <alignment horizontal="left"/>
      <protection hidden="1"/>
    </xf>
    <xf numFmtId="0" fontId="10" fillId="0" borderId="7" xfId="0" applyFont="1" applyBorder="1" applyAlignment="1" applyProtection="1">
      <alignment horizontal="center" wrapText="1"/>
      <protection locked="0"/>
    </xf>
    <xf numFmtId="166" fontId="12" fillId="0" borderId="7" xfId="0" applyNumberFormat="1" applyFont="1" applyBorder="1" applyAlignment="1" applyProtection="1">
      <alignment horizontal="right"/>
      <protection hidden="1"/>
    </xf>
    <xf numFmtId="9" fontId="10" fillId="0" borderId="7" xfId="2" applyFont="1" applyBorder="1" applyAlignment="1" applyProtection="1">
      <alignment horizontal="center"/>
      <protection locked="0"/>
    </xf>
    <xf numFmtId="168" fontId="14" fillId="4" borderId="7" xfId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165" fontId="15" fillId="0" borderId="0" xfId="0" applyNumberFormat="1" applyFont="1" applyAlignment="1" applyProtection="1">
      <alignment vertical="center"/>
      <protection locked="0"/>
    </xf>
    <xf numFmtId="169" fontId="15" fillId="0" borderId="0" xfId="0" applyNumberFormat="1" applyFont="1" applyAlignment="1" applyProtection="1">
      <alignment vertical="center"/>
      <protection locked="0"/>
    </xf>
    <xf numFmtId="0" fontId="11" fillId="5" borderId="6" xfId="0" applyFont="1" applyFill="1" applyBorder="1" applyAlignment="1" applyProtection="1">
      <alignment horizontal="left"/>
      <protection locked="0"/>
    </xf>
    <xf numFmtId="0" fontId="12" fillId="5" borderId="7" xfId="0" applyFont="1" applyFill="1" applyBorder="1" applyAlignment="1" applyProtection="1">
      <alignment horizontal="left"/>
      <protection hidden="1"/>
    </xf>
    <xf numFmtId="0" fontId="10" fillId="5" borderId="7" xfId="0" applyFont="1" applyFill="1" applyBorder="1" applyAlignment="1" applyProtection="1">
      <alignment horizontal="center" wrapText="1"/>
      <protection locked="0"/>
    </xf>
    <xf numFmtId="165" fontId="12" fillId="5" borderId="7" xfId="0" applyNumberFormat="1" applyFont="1" applyFill="1" applyBorder="1" applyAlignment="1" applyProtection="1">
      <alignment horizontal="right"/>
      <protection hidden="1"/>
    </xf>
    <xf numFmtId="9" fontId="10" fillId="5" borderId="7" xfId="2" applyFont="1" applyFill="1" applyBorder="1" applyAlignment="1" applyProtection="1">
      <alignment horizontal="center"/>
      <protection locked="0"/>
    </xf>
    <xf numFmtId="168" fontId="14" fillId="5" borderId="7" xfId="1" applyNumberFormat="1" applyFont="1" applyFill="1" applyBorder="1" applyAlignment="1" applyProtection="1">
      <alignment horizontal="center" vertical="center"/>
      <protection locked="0"/>
    </xf>
    <xf numFmtId="165" fontId="12" fillId="0" borderId="7" xfId="0" applyNumberFormat="1" applyFont="1" applyBorder="1" applyAlignment="1" applyProtection="1">
      <alignment horizontal="right"/>
      <protection hidden="1"/>
    </xf>
    <xf numFmtId="0" fontId="10" fillId="2" borderId="0" xfId="0" applyFont="1" applyFill="1" applyProtection="1">
      <protection locked="0"/>
    </xf>
    <xf numFmtId="165" fontId="10" fillId="2" borderId="0" xfId="0" applyNumberFormat="1" applyFont="1" applyFill="1" applyAlignment="1" applyProtection="1">
      <alignment horizontal="right"/>
      <protection locked="0"/>
    </xf>
    <xf numFmtId="9" fontId="10" fillId="2" borderId="0" xfId="0" applyNumberFormat="1" applyFont="1" applyFill="1" applyProtection="1">
      <protection locked="0"/>
    </xf>
    <xf numFmtId="0" fontId="10" fillId="0" borderId="7" xfId="0" applyFont="1" applyBorder="1" applyProtection="1">
      <protection locked="0"/>
    </xf>
    <xf numFmtId="166" fontId="10" fillId="0" borderId="7" xfId="0" applyNumberFormat="1" applyFont="1" applyBorder="1" applyProtection="1">
      <protection locked="0"/>
    </xf>
    <xf numFmtId="165" fontId="10" fillId="0" borderId="7" xfId="0" applyNumberFormat="1" applyFont="1" applyBorder="1" applyProtection="1">
      <protection hidden="1"/>
    </xf>
    <xf numFmtId="4" fontId="16" fillId="3" borderId="3" xfId="1" applyNumberFormat="1" applyFont="1" applyFill="1" applyBorder="1" applyAlignment="1" applyProtection="1">
      <protection locked="0"/>
    </xf>
    <xf numFmtId="165" fontId="10" fillId="0" borderId="3" xfId="1" applyNumberFormat="1" applyFont="1" applyFill="1" applyBorder="1" applyAlignment="1" applyProtection="1">
      <alignment horizontal="right"/>
      <protection hidden="1"/>
    </xf>
    <xf numFmtId="44" fontId="10" fillId="0" borderId="0" xfId="1" applyNumberFormat="1" applyFont="1" applyFill="1" applyBorder="1" applyAlignment="1" applyProtection="1">
      <alignment horizontal="right"/>
      <protection locked="0"/>
    </xf>
    <xf numFmtId="165" fontId="10" fillId="0" borderId="0" xfId="1" applyNumberFormat="1" applyFont="1" applyFill="1" applyBorder="1" applyAlignment="1" applyProtection="1">
      <alignment horizontal="right"/>
      <protection locked="0"/>
    </xf>
    <xf numFmtId="9" fontId="10" fillId="0" borderId="0" xfId="1" applyNumberFormat="1" applyFont="1" applyFill="1" applyBorder="1" applyAlignment="1" applyProtection="1">
      <alignment horizontal="right"/>
      <protection locked="0"/>
    </xf>
    <xf numFmtId="0" fontId="0" fillId="0" borderId="0" xfId="0" applyProtection="1">
      <protection locked="0"/>
    </xf>
    <xf numFmtId="4" fontId="10" fillId="2" borderId="0" xfId="0" applyNumberFormat="1" applyFont="1" applyFill="1" applyProtection="1">
      <protection locked="0"/>
    </xf>
    <xf numFmtId="0" fontId="9" fillId="3" borderId="7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3" fontId="2" fillId="2" borderId="0" xfId="0" applyNumberFormat="1" applyFont="1" applyFill="1" applyAlignment="1" applyProtection="1">
      <alignment vertical="center"/>
      <protection locked="0"/>
    </xf>
    <xf numFmtId="165" fontId="2" fillId="2" borderId="0" xfId="0" applyNumberFormat="1" applyFont="1" applyFill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right"/>
      <protection locked="0"/>
    </xf>
    <xf numFmtId="14" fontId="18" fillId="0" borderId="1" xfId="0" applyNumberFormat="1" applyFont="1" applyBorder="1" applyAlignment="1" applyProtection="1">
      <alignment horizontal="left"/>
      <protection locked="0"/>
    </xf>
    <xf numFmtId="14" fontId="18" fillId="0" borderId="3" xfId="0" applyNumberFormat="1" applyFont="1" applyBorder="1" applyAlignment="1" applyProtection="1">
      <alignment horizontal="left"/>
      <protection locked="0"/>
    </xf>
    <xf numFmtId="4" fontId="2" fillId="2" borderId="7" xfId="0" applyNumberFormat="1" applyFont="1" applyFill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left"/>
      <protection locked="0"/>
    </xf>
    <xf numFmtId="0" fontId="18" fillId="0" borderId="3" xfId="0" applyFont="1" applyBorder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vertical="center"/>
      <protection locked="0"/>
    </xf>
    <xf numFmtId="0" fontId="18" fillId="0" borderId="1" xfId="0" applyFont="1" applyBorder="1" applyAlignment="1" applyProtection="1">
      <alignment horizontal="left" wrapText="1"/>
      <protection locked="0"/>
    </xf>
    <xf numFmtId="0" fontId="18" fillId="0" borderId="3" xfId="0" applyFont="1" applyBorder="1" applyAlignment="1" applyProtection="1">
      <alignment horizontal="left" wrapText="1"/>
      <protection locked="0"/>
    </xf>
    <xf numFmtId="170" fontId="18" fillId="2" borderId="1" xfId="0" applyNumberFormat="1" applyFont="1" applyFill="1" applyBorder="1" applyAlignment="1" applyProtection="1">
      <alignment horizontal="left"/>
      <protection locked="0"/>
    </xf>
    <xf numFmtId="170" fontId="18" fillId="2" borderId="3" xfId="0" applyNumberFormat="1" applyFont="1" applyFill="1" applyBorder="1" applyAlignment="1" applyProtection="1">
      <alignment horizontal="left"/>
      <protection locked="0"/>
    </xf>
    <xf numFmtId="170" fontId="18" fillId="2" borderId="7" xfId="0" applyNumberFormat="1" applyFont="1" applyFill="1" applyBorder="1" applyAlignment="1" applyProtection="1">
      <alignment horizontal="left"/>
      <protection locked="0"/>
    </xf>
    <xf numFmtId="9" fontId="2" fillId="2" borderId="0" xfId="0" applyNumberFormat="1" applyFont="1" applyFill="1" applyAlignment="1" applyProtection="1">
      <alignment vertical="center"/>
      <protection locked="0"/>
    </xf>
    <xf numFmtId="0" fontId="6" fillId="0" borderId="5" xfId="0" applyFont="1" applyBorder="1" applyProtection="1">
      <protection locked="0"/>
    </xf>
    <xf numFmtId="0" fontId="6" fillId="0" borderId="9" xfId="0" applyFont="1" applyBorder="1" applyProtection="1">
      <protection locked="0"/>
    </xf>
    <xf numFmtId="170" fontId="2" fillId="2" borderId="9" xfId="0" applyNumberFormat="1" applyFont="1" applyFill="1" applyBorder="1" applyAlignment="1" applyProtection="1">
      <alignment horizontal="left"/>
      <protection locked="0"/>
    </xf>
    <xf numFmtId="170" fontId="2" fillId="2" borderId="10" xfId="0" applyNumberFormat="1" applyFont="1" applyFill="1" applyBorder="1" applyAlignment="1" applyProtection="1">
      <alignment horizontal="left" vertical="top"/>
      <protection locked="0"/>
    </xf>
    <xf numFmtId="0" fontId="6" fillId="2" borderId="0" xfId="0" applyFont="1" applyFill="1" applyProtection="1"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6" fillId="0" borderId="0" xfId="0" applyFont="1" applyProtection="1">
      <protection locked="0"/>
    </xf>
    <xf numFmtId="3" fontId="2" fillId="0" borderId="0" xfId="0" applyNumberFormat="1" applyFont="1" applyProtection="1">
      <protection locked="0"/>
    </xf>
    <xf numFmtId="165" fontId="2" fillId="0" borderId="0" xfId="0" applyNumberFormat="1" applyFont="1" applyAlignment="1" applyProtection="1">
      <alignment horizontal="right"/>
      <protection locked="0"/>
    </xf>
    <xf numFmtId="9" fontId="2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</cellXfs>
  <cellStyles count="4">
    <cellStyle name="Köprü" xfId="3" builtinId="8"/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30753</xdr:colOff>
      <xdr:row>0</xdr:row>
      <xdr:rowOff>142879</xdr:rowOff>
    </xdr:from>
    <xdr:to>
      <xdr:col>3</xdr:col>
      <xdr:colOff>114925</xdr:colOff>
      <xdr:row>4</xdr:row>
      <xdr:rowOff>340178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92974502-CA17-4AF2-856A-EBDAF05FB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53" y="142879"/>
          <a:ext cx="5227672" cy="1340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686965</xdr:colOff>
      <xdr:row>0</xdr:row>
      <xdr:rowOff>76200</xdr:rowOff>
    </xdr:from>
    <xdr:to>
      <xdr:col>9</xdr:col>
      <xdr:colOff>1205612</xdr:colOff>
      <xdr:row>4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F51C2A30-5155-44A0-B653-8F6FFF692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69065" y="76200"/>
          <a:ext cx="6186022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kevu\Desktop\TEKL&#304;F%20FORMATI_2025_USD2%20Dosyas&#305;n&#305;n%20Kopyas&#305;.xlsx" TargetMode="External"/><Relationship Id="rId1" Type="http://schemas.openxmlformats.org/officeDocument/2006/relationships/externalLinkPath" Target="/Users/bkevu/Desktop/TEKL&#304;F%20FORMATI_2025_USD2%20Dosyas&#305;n&#305;n%20Kopy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KLİF"/>
      <sheetName val="Sayfa1"/>
    </sheetNames>
    <sheetDataSet>
      <sheetData sheetId="0"/>
      <sheetData sheetId="1">
        <row r="1">
          <cell r="A1" t="str">
            <v>SİPARİŞ KODU</v>
          </cell>
          <cell r="B1" t="str">
            <v>ÜRÜN KODU</v>
          </cell>
          <cell r="C1" t="str">
            <v>ÜRÜN ADI</v>
          </cell>
          <cell r="D1" t="str">
            <v>2025 LİSTE FİYATI</v>
          </cell>
          <cell r="E1" t="str">
            <v>2026 LİSTE FİYATI</v>
          </cell>
        </row>
        <row r="3">
          <cell r="A3" t="str">
            <v>TBC1000</v>
          </cell>
          <cell r="B3" t="str">
            <v>CYL-0.25-220-PİN</v>
          </cell>
          <cell r="C3" t="str">
            <v>0,25 KVAR MONOFAZE SİLİNDİR</v>
          </cell>
          <cell r="D3">
            <v>536</v>
          </cell>
          <cell r="E3">
            <v>777</v>
          </cell>
        </row>
        <row r="4">
          <cell r="A4" t="str">
            <v>TBC1001</v>
          </cell>
          <cell r="B4" t="str">
            <v>CYL-0.50-220-PİN</v>
          </cell>
          <cell r="C4" t="str">
            <v>0,50 KVAR MONOFAZE SİLİNDİR</v>
          </cell>
          <cell r="D4">
            <v>538</v>
          </cell>
          <cell r="E4">
            <v>780</v>
          </cell>
        </row>
        <row r="5">
          <cell r="A5" t="str">
            <v>TBC1002</v>
          </cell>
          <cell r="B5" t="str">
            <v>CYL-1-220-PİN</v>
          </cell>
          <cell r="C5" t="str">
            <v>1 KVAR MONOFAZE SİLİNDİR</v>
          </cell>
          <cell r="D5">
            <v>635</v>
          </cell>
          <cell r="E5">
            <v>921</v>
          </cell>
        </row>
        <row r="6">
          <cell r="A6" t="str">
            <v>TBC1003</v>
          </cell>
          <cell r="B6" t="str">
            <v>CYL-1.5-220-PİN</v>
          </cell>
          <cell r="C6" t="str">
            <v>1,5 KVAR MONOFAZE SİLİNDİR</v>
          </cell>
          <cell r="D6">
            <v>797</v>
          </cell>
          <cell r="E6">
            <v>1156</v>
          </cell>
        </row>
        <row r="7">
          <cell r="A7" t="str">
            <v>TBC1004</v>
          </cell>
          <cell r="B7" t="str">
            <v>CYL-2,5-220-PİN</v>
          </cell>
          <cell r="C7" t="str">
            <v>2,5 KVAR MONOFAZE SİLİNDİR</v>
          </cell>
          <cell r="D7">
            <v>1052</v>
          </cell>
          <cell r="E7">
            <v>1525</v>
          </cell>
        </row>
        <row r="8">
          <cell r="A8" t="str">
            <v>TBC1005</v>
          </cell>
          <cell r="B8" t="str">
            <v>CYL-3-220-PİN</v>
          </cell>
          <cell r="C8" t="str">
            <v>3 KVAR MONOFAZE SİLİNDİR</v>
          </cell>
          <cell r="D8">
            <v>1162</v>
          </cell>
          <cell r="E8">
            <v>1685</v>
          </cell>
        </row>
        <row r="9">
          <cell r="A9" t="str">
            <v>TBC1006</v>
          </cell>
          <cell r="B9" t="str">
            <v>CYL-5-220-PİN</v>
          </cell>
          <cell r="C9" t="str">
            <v>5 KVAR MONOFAZE SİLİNDİR</v>
          </cell>
          <cell r="D9">
            <v>2379</v>
          </cell>
          <cell r="E9">
            <v>3450</v>
          </cell>
        </row>
        <row r="11">
          <cell r="A11" t="str">
            <v>TBC1100</v>
          </cell>
          <cell r="B11" t="str">
            <v>CYL-0.5-400-PİN</v>
          </cell>
          <cell r="C11" t="str">
            <v>0,5 KVAR 400V SİLİNDİR</v>
          </cell>
          <cell r="D11">
            <v>716</v>
          </cell>
          <cell r="E11">
            <v>952</v>
          </cell>
        </row>
        <row r="12">
          <cell r="A12" t="str">
            <v>TBC1101</v>
          </cell>
          <cell r="B12" t="str">
            <v>CYL-1-400-PİN</v>
          </cell>
          <cell r="C12" t="str">
            <v>1 KVAR 400V SİLİNDİR</v>
          </cell>
          <cell r="D12">
            <v>737</v>
          </cell>
          <cell r="E12">
            <v>980</v>
          </cell>
        </row>
        <row r="13">
          <cell r="A13" t="str">
            <v>TBC1102</v>
          </cell>
          <cell r="B13" t="str">
            <v>CYL-1.5-400-PİN</v>
          </cell>
          <cell r="C13" t="str">
            <v>1,5 KVAR 400V SİLİNDİR</v>
          </cell>
          <cell r="D13">
            <v>857</v>
          </cell>
          <cell r="E13">
            <v>1140</v>
          </cell>
        </row>
        <row r="14">
          <cell r="A14" t="str">
            <v>TBC1103</v>
          </cell>
          <cell r="B14" t="str">
            <v>CYL-2,5-400-PİN</v>
          </cell>
          <cell r="C14" t="str">
            <v>2,5 KVAR 400V SİLİNDİR</v>
          </cell>
          <cell r="D14">
            <v>1045</v>
          </cell>
          <cell r="E14">
            <v>1515</v>
          </cell>
        </row>
        <row r="15">
          <cell r="A15" t="str">
            <v>TBC1104</v>
          </cell>
          <cell r="B15" t="str">
            <v>CYL-5-400-415-440V-SCR</v>
          </cell>
          <cell r="C15" t="str">
            <v xml:space="preserve">5 KVAR 400-415-440 V SİLİNDİR </v>
          </cell>
          <cell r="D15">
            <v>1091</v>
          </cell>
          <cell r="E15">
            <v>1582</v>
          </cell>
        </row>
        <row r="16">
          <cell r="A16" t="str">
            <v>TBC1105</v>
          </cell>
          <cell r="B16" t="str">
            <v>CYL-7,5-400-415-440V-SCR</v>
          </cell>
          <cell r="C16" t="str">
            <v xml:space="preserve">7,5 KVAR 400-415-440 V SİLİNDİR </v>
          </cell>
          <cell r="D16">
            <v>1521</v>
          </cell>
          <cell r="E16">
            <v>2205</v>
          </cell>
        </row>
        <row r="17">
          <cell r="A17" t="str">
            <v>TBC1106</v>
          </cell>
          <cell r="B17" t="str">
            <v>CYL-10-400-415-440V-SCR</v>
          </cell>
          <cell r="C17" t="str">
            <v xml:space="preserve">10 KVAR 400-415-440 V SİLİNDİR </v>
          </cell>
          <cell r="D17">
            <v>1540</v>
          </cell>
          <cell r="E17">
            <v>2233</v>
          </cell>
        </row>
        <row r="18">
          <cell r="A18" t="str">
            <v>TBC1107</v>
          </cell>
          <cell r="B18" t="str">
            <v>CYL-12,5-400-415-440VSCR</v>
          </cell>
          <cell r="C18" t="str">
            <v xml:space="preserve">12,5 KVAR 400-415-440 V SİLİNDİR </v>
          </cell>
          <cell r="D18">
            <v>1907</v>
          </cell>
          <cell r="E18">
            <v>2765</v>
          </cell>
        </row>
        <row r="19">
          <cell r="A19" t="str">
            <v>TBC1108</v>
          </cell>
          <cell r="B19" t="str">
            <v>CYL-15-400-415-440V-SCR</v>
          </cell>
          <cell r="C19" t="str">
            <v xml:space="preserve">15 KVAR 400-415-440 V SİLİNDİR </v>
          </cell>
          <cell r="D19">
            <v>2370</v>
          </cell>
          <cell r="E19">
            <v>3437</v>
          </cell>
        </row>
        <row r="20">
          <cell r="A20" t="str">
            <v>TBC1109</v>
          </cell>
          <cell r="B20" t="str">
            <v>CYL-20-400-415-440V-SCR</v>
          </cell>
          <cell r="C20" t="str">
            <v xml:space="preserve">20 KVAR 400-415-440 V SİLİNDİR </v>
          </cell>
          <cell r="D20">
            <v>3134</v>
          </cell>
          <cell r="E20">
            <v>4544</v>
          </cell>
        </row>
        <row r="21">
          <cell r="A21" t="str">
            <v>TBC1110</v>
          </cell>
          <cell r="B21" t="str">
            <v>CYL-25-400-415-440V-SCR</v>
          </cell>
          <cell r="C21" t="str">
            <v xml:space="preserve">25 KVAR 400-415-440 V SİLİNDİR </v>
          </cell>
          <cell r="D21">
            <v>3638</v>
          </cell>
          <cell r="E21">
            <v>5275</v>
          </cell>
        </row>
        <row r="22">
          <cell r="A22" t="str">
            <v>TBC1111</v>
          </cell>
          <cell r="B22" t="str">
            <v>CYL-30-400-415-440V-SCR</v>
          </cell>
          <cell r="C22" t="str">
            <v xml:space="preserve">30 KVAR 400-415-440 V SİLİNDİR </v>
          </cell>
          <cell r="D22">
            <v>4142</v>
          </cell>
          <cell r="E22">
            <v>6047</v>
          </cell>
        </row>
        <row r="23">
          <cell r="A23" t="str">
            <v>TBC1112</v>
          </cell>
          <cell r="B23" t="str">
            <v>CYL-40-400-415-440V-SCR</v>
          </cell>
          <cell r="C23" t="str">
            <v xml:space="preserve">40 KVAR 400-415-440 V SİLİNDİR </v>
          </cell>
          <cell r="D23">
            <v>7310</v>
          </cell>
          <cell r="E23">
            <v>10600</v>
          </cell>
        </row>
        <row r="24">
          <cell r="A24" t="str">
            <v>TBC1113</v>
          </cell>
          <cell r="B24" t="str">
            <v>CYL-50-400-415-440V-SCR</v>
          </cell>
          <cell r="C24" t="str">
            <v xml:space="preserve">50 KVAR 400-415-440 V SİLİNDİR </v>
          </cell>
          <cell r="D24">
            <v>7860</v>
          </cell>
          <cell r="E24">
            <v>11397</v>
          </cell>
        </row>
        <row r="26">
          <cell r="A26" t="str">
            <v>TBC1200</v>
          </cell>
          <cell r="B26" t="str">
            <v>BOX-0.5-400-SCR</v>
          </cell>
          <cell r="C26" t="str">
            <v xml:space="preserve">0,5 KVAR 400V KUTU </v>
          </cell>
          <cell r="D26">
            <v>554</v>
          </cell>
          <cell r="E26">
            <v>803</v>
          </cell>
        </row>
        <row r="27">
          <cell r="A27" t="str">
            <v>TBC1201</v>
          </cell>
          <cell r="B27" t="str">
            <v>BOX-1-400-SCR</v>
          </cell>
          <cell r="C27" t="str">
            <v xml:space="preserve">1 KVAR 400V KUTU </v>
          </cell>
          <cell r="D27">
            <v>569</v>
          </cell>
          <cell r="E27">
            <v>825</v>
          </cell>
        </row>
        <row r="28">
          <cell r="A28" t="str">
            <v>TBC1202</v>
          </cell>
          <cell r="B28" t="str">
            <v>BOX-1.5-400-SCR</v>
          </cell>
          <cell r="C28" t="str">
            <v xml:space="preserve">1,5 KVAR 400V KUTU </v>
          </cell>
          <cell r="D28">
            <v>592</v>
          </cell>
          <cell r="E28">
            <v>858</v>
          </cell>
        </row>
        <row r="29">
          <cell r="A29" t="str">
            <v>TBC1203</v>
          </cell>
          <cell r="B29" t="str">
            <v>BOX-2,5-400-SCR</v>
          </cell>
          <cell r="C29" t="str">
            <v xml:space="preserve">2,5 KVAR 400V KUTU </v>
          </cell>
          <cell r="D29">
            <v>751</v>
          </cell>
          <cell r="E29">
            <v>1089</v>
          </cell>
        </row>
        <row r="30">
          <cell r="A30" t="str">
            <v>TBC1204</v>
          </cell>
          <cell r="B30" t="str">
            <v>BOX-5-400-SCR</v>
          </cell>
          <cell r="C30" t="str">
            <v>5 KVAR 400V KUTU</v>
          </cell>
          <cell r="D30">
            <v>991</v>
          </cell>
          <cell r="E30">
            <v>1437</v>
          </cell>
        </row>
        <row r="31">
          <cell r="A31" t="str">
            <v>TBC1205</v>
          </cell>
          <cell r="B31" t="str">
            <v>BOX-7.5-400-SCR</v>
          </cell>
          <cell r="C31" t="str">
            <v>7,5 KVAR 400V KUTU</v>
          </cell>
          <cell r="D31">
            <v>1253</v>
          </cell>
          <cell r="E31">
            <v>1817</v>
          </cell>
        </row>
        <row r="32">
          <cell r="A32" t="str">
            <v>TBC1206</v>
          </cell>
          <cell r="B32" t="str">
            <v>BOX-10-400-SCR</v>
          </cell>
          <cell r="C32" t="str">
            <v>10 KVAR 400V KUTU</v>
          </cell>
          <cell r="D32">
            <v>1586</v>
          </cell>
          <cell r="E32">
            <v>2300</v>
          </cell>
        </row>
        <row r="33">
          <cell r="A33" t="str">
            <v>TBC1207</v>
          </cell>
          <cell r="B33" t="str">
            <v>BOX-12,5-400-SCR</v>
          </cell>
          <cell r="C33" t="str">
            <v xml:space="preserve">12,5 KVAR 400V KUTU </v>
          </cell>
          <cell r="D33">
            <v>2037</v>
          </cell>
          <cell r="E33">
            <v>2954</v>
          </cell>
        </row>
        <row r="34">
          <cell r="A34" t="str">
            <v>TBC1208</v>
          </cell>
          <cell r="B34" t="str">
            <v>BOX-15-400-SCR</v>
          </cell>
          <cell r="C34" t="str">
            <v xml:space="preserve">15 KVAR 400V KUTU </v>
          </cell>
          <cell r="D34">
            <v>2343</v>
          </cell>
          <cell r="E34">
            <v>3397</v>
          </cell>
        </row>
        <row r="35">
          <cell r="A35" t="str">
            <v>TBC1209</v>
          </cell>
          <cell r="B35" t="str">
            <v>BOX-20-400-SCR</v>
          </cell>
          <cell r="C35" t="str">
            <v>20 KVAR 400V KUTU</v>
          </cell>
          <cell r="D35">
            <v>3010</v>
          </cell>
          <cell r="E35">
            <v>4365</v>
          </cell>
        </row>
        <row r="36">
          <cell r="A36" t="str">
            <v>TBC1210</v>
          </cell>
          <cell r="B36" t="str">
            <v>BOX-25-400-SCR</v>
          </cell>
          <cell r="C36" t="str">
            <v>25 KVAR 400V KUTU</v>
          </cell>
          <cell r="D36">
            <v>3514</v>
          </cell>
          <cell r="E36">
            <v>5095</v>
          </cell>
        </row>
        <row r="37">
          <cell r="A37" t="str">
            <v>TBC1211</v>
          </cell>
          <cell r="B37" t="str">
            <v>BOX-30-400-SCR</v>
          </cell>
          <cell r="C37" t="str">
            <v>30 KVAR 400V KUTU</v>
          </cell>
          <cell r="D37">
            <v>4258</v>
          </cell>
          <cell r="E37">
            <v>6174</v>
          </cell>
        </row>
        <row r="39">
          <cell r="A39" t="str">
            <v>TBC1300</v>
          </cell>
          <cell r="B39" t="str">
            <v>CYL-2.5-440-PİN</v>
          </cell>
          <cell r="C39" t="str">
            <v xml:space="preserve">2,5 KVAR 440V SİLİNDİR </v>
          </cell>
          <cell r="D39">
            <v>1005</v>
          </cell>
          <cell r="E39">
            <v>1457</v>
          </cell>
        </row>
        <row r="40">
          <cell r="A40" t="str">
            <v>TBC1301</v>
          </cell>
          <cell r="B40" t="str">
            <v>HD-CYL-5-440-SCR</v>
          </cell>
          <cell r="C40" t="str">
            <v xml:space="preserve">5 KVAR 440V SİLİNDİR </v>
          </cell>
          <cell r="D40">
            <v>1399</v>
          </cell>
          <cell r="E40">
            <v>2029</v>
          </cell>
        </row>
        <row r="41">
          <cell r="A41" t="str">
            <v>TBC1302</v>
          </cell>
          <cell r="B41" t="str">
            <v>HD-CYL-7.5-440-SCR</v>
          </cell>
          <cell r="C41" t="str">
            <v xml:space="preserve">7,5 KVAR 440V SİLİNDİR </v>
          </cell>
          <cell r="D41">
            <v>1782</v>
          </cell>
          <cell r="E41">
            <v>2584</v>
          </cell>
        </row>
        <row r="42">
          <cell r="A42" t="str">
            <v>TBC1303</v>
          </cell>
          <cell r="B42" t="str">
            <v>HD-CYL-10-440-SCR</v>
          </cell>
          <cell r="C42" t="str">
            <v xml:space="preserve">10 KVAR 440V SİLİNDİR </v>
          </cell>
          <cell r="D42">
            <v>1896</v>
          </cell>
          <cell r="E42">
            <v>2749</v>
          </cell>
        </row>
        <row r="43">
          <cell r="A43" t="str">
            <v>TBC1304</v>
          </cell>
          <cell r="B43" t="str">
            <v>HD-CYL-12,5-440-SCR</v>
          </cell>
          <cell r="C43" t="str">
            <v xml:space="preserve">12,5 KVAR 440V SİLİNDİR </v>
          </cell>
          <cell r="D43">
            <v>2291</v>
          </cell>
          <cell r="E43">
            <v>3322</v>
          </cell>
        </row>
        <row r="44">
          <cell r="A44" t="str">
            <v>TBC1305</v>
          </cell>
          <cell r="B44" t="str">
            <v>HD-CYL-14.1-440-SCR</v>
          </cell>
          <cell r="C44" t="str">
            <v xml:space="preserve">14,1 KVAR 440V SİLİNDİR </v>
          </cell>
          <cell r="D44">
            <v>2632</v>
          </cell>
          <cell r="E44">
            <v>3816</v>
          </cell>
        </row>
        <row r="45">
          <cell r="A45" t="str">
            <v>TBC1306</v>
          </cell>
          <cell r="B45" t="str">
            <v>HD-CYL-15-440-SCR</v>
          </cell>
          <cell r="C45" t="str">
            <v xml:space="preserve">15 KVAR 440V SİLİNDİR </v>
          </cell>
          <cell r="D45">
            <v>2689</v>
          </cell>
          <cell r="E45">
            <v>3899</v>
          </cell>
        </row>
        <row r="46">
          <cell r="A46" t="str">
            <v>TBC1307</v>
          </cell>
          <cell r="B46" t="str">
            <v>HD-CYL-20-440-SCR</v>
          </cell>
          <cell r="C46" t="str">
            <v xml:space="preserve">20 KVAR 440V SİLİNDİR </v>
          </cell>
          <cell r="D46">
            <v>3595</v>
          </cell>
          <cell r="E46">
            <v>5213</v>
          </cell>
        </row>
        <row r="47">
          <cell r="A47" t="str">
            <v>TBC1308</v>
          </cell>
          <cell r="B47" t="str">
            <v>HD-CYL-25-440-SCR</v>
          </cell>
          <cell r="C47" t="str">
            <v xml:space="preserve">25 KVAR 440V SİLİNDİR </v>
          </cell>
          <cell r="D47">
            <v>4201</v>
          </cell>
          <cell r="E47">
            <v>6091</v>
          </cell>
        </row>
        <row r="48">
          <cell r="A48" t="str">
            <v>TBC1309</v>
          </cell>
          <cell r="B48" t="str">
            <v>HD-CYL-28.2-440-SCR</v>
          </cell>
          <cell r="C48" t="str">
            <v xml:space="preserve">28,2 KVAR 440V SİLİNDİR </v>
          </cell>
          <cell r="D48">
            <v>4695</v>
          </cell>
          <cell r="E48">
            <v>6808</v>
          </cell>
        </row>
        <row r="49">
          <cell r="A49" t="str">
            <v>TBC1310</v>
          </cell>
          <cell r="B49" t="str">
            <v>HD-CYL-30-440-SCR</v>
          </cell>
          <cell r="C49" t="str">
            <v xml:space="preserve">30 KVAR 440V SİLİNDİR </v>
          </cell>
          <cell r="D49">
            <v>4832</v>
          </cell>
          <cell r="E49">
            <v>7006</v>
          </cell>
        </row>
        <row r="51">
          <cell r="A51" t="str">
            <v>TBC1400</v>
          </cell>
          <cell r="B51" t="str">
            <v>CYL-5-480-SCR</v>
          </cell>
          <cell r="C51" t="str">
            <v xml:space="preserve">5 KVAR 480-525V SİLİNDİR </v>
          </cell>
          <cell r="D51">
            <v>1685</v>
          </cell>
          <cell r="E51">
            <v>2443</v>
          </cell>
        </row>
        <row r="52">
          <cell r="A52" t="str">
            <v>TBC1401</v>
          </cell>
          <cell r="B52" t="str">
            <v>CYL-7.5-480-SCR</v>
          </cell>
          <cell r="C52" t="str">
            <v xml:space="preserve">7,5 KVAR 480-525V SİLİNDİR </v>
          </cell>
          <cell r="D52">
            <v>1828</v>
          </cell>
          <cell r="E52">
            <v>2651</v>
          </cell>
        </row>
        <row r="53">
          <cell r="A53" t="str">
            <v>TBC1402</v>
          </cell>
          <cell r="B53" t="str">
            <v>CYL-10-480-SCR</v>
          </cell>
          <cell r="C53" t="str">
            <v xml:space="preserve">10 KVAR 480-525V SİLİNDİR </v>
          </cell>
          <cell r="D53">
            <v>2043</v>
          </cell>
          <cell r="E53">
            <v>2962</v>
          </cell>
        </row>
        <row r="54">
          <cell r="A54" t="str">
            <v>TBC1403</v>
          </cell>
          <cell r="B54" t="str">
            <v>CYL-12,5-480-SCR</v>
          </cell>
          <cell r="C54" t="str">
            <v>12,5 KVAR 480-525V SİLİNDİR</v>
          </cell>
          <cell r="D54">
            <v>2456</v>
          </cell>
          <cell r="E54">
            <v>3561</v>
          </cell>
        </row>
        <row r="55">
          <cell r="A55" t="str">
            <v>TBC1405</v>
          </cell>
          <cell r="B55" t="str">
            <v>CYL-15-480-SCR</v>
          </cell>
          <cell r="C55" t="str">
            <v xml:space="preserve">15 KVAR 480-525V SİLİNDİR </v>
          </cell>
          <cell r="D55">
            <v>2760</v>
          </cell>
          <cell r="E55">
            <v>4002</v>
          </cell>
        </row>
        <row r="56">
          <cell r="A56" t="str">
            <v>TBC1404</v>
          </cell>
          <cell r="B56" t="str">
            <v>CYL-16,7-480-SCR</v>
          </cell>
          <cell r="C56" t="str">
            <v xml:space="preserve">16,6 KVAR 480-525V SİLİNDİR </v>
          </cell>
          <cell r="D56">
            <v>2985</v>
          </cell>
          <cell r="E56">
            <v>4328</v>
          </cell>
        </row>
        <row r="57">
          <cell r="A57" t="str">
            <v>TBC1406</v>
          </cell>
          <cell r="B57" t="str">
            <v>CYL-20-480-SCR</v>
          </cell>
          <cell r="C57" t="str">
            <v xml:space="preserve">20 KVAR 480-525V SİLİNDİR </v>
          </cell>
          <cell r="D57">
            <v>3532</v>
          </cell>
          <cell r="E57">
            <v>5121</v>
          </cell>
        </row>
        <row r="58">
          <cell r="A58" t="str">
            <v>TBC1407</v>
          </cell>
          <cell r="B58" t="str">
            <v>CYL-25-480-SCR</v>
          </cell>
          <cell r="C58" t="str">
            <v xml:space="preserve">25 KVAR 480-525V SİLİNDİR </v>
          </cell>
          <cell r="D58">
            <v>4673</v>
          </cell>
          <cell r="E58">
            <v>6776</v>
          </cell>
        </row>
        <row r="59">
          <cell r="A59" t="str">
            <v>TBC1408</v>
          </cell>
          <cell r="B59" t="str">
            <v>CYL-30-480-SCR</v>
          </cell>
          <cell r="C59" t="str">
            <v>30 KVAR 480-525V SİLİNDİR</v>
          </cell>
          <cell r="D59">
            <v>4948</v>
          </cell>
          <cell r="E59">
            <v>7175</v>
          </cell>
        </row>
        <row r="60">
          <cell r="A60" t="str">
            <v>TBC1409</v>
          </cell>
          <cell r="B60" t="str">
            <v>CYL-33,30-480-SCR</v>
          </cell>
          <cell r="C60" t="str">
            <v xml:space="preserve">33,3 KVAR 480-525V SİLİNDİR </v>
          </cell>
          <cell r="D60">
            <v>5790</v>
          </cell>
          <cell r="E60">
            <v>8396</v>
          </cell>
        </row>
        <row r="62">
          <cell r="A62" t="str">
            <v>TBC1500</v>
          </cell>
          <cell r="B62" t="str">
            <v>SHD-CYL-5-525-SCR</v>
          </cell>
          <cell r="C62" t="str">
            <v xml:space="preserve">5 KVAR 525V HEAVY DUTY SİLİNDİR </v>
          </cell>
          <cell r="D62">
            <v>1656</v>
          </cell>
          <cell r="E62">
            <v>2401</v>
          </cell>
        </row>
        <row r="63">
          <cell r="A63" t="str">
            <v>TBC1501</v>
          </cell>
          <cell r="B63" t="str">
            <v>SHD-CYL-7,5-525-SCR</v>
          </cell>
          <cell r="C63" t="str">
            <v xml:space="preserve">7,5 KVAR 525V HEAVY DUTY SİLİNDİR </v>
          </cell>
          <cell r="D63">
            <v>1878</v>
          </cell>
          <cell r="E63">
            <v>2723</v>
          </cell>
        </row>
        <row r="64">
          <cell r="A64" t="str">
            <v>TBC1502</v>
          </cell>
          <cell r="B64" t="str">
            <v>SHD-CYL-10-525-SCR</v>
          </cell>
          <cell r="C64" t="str">
            <v>10 KVAR 525V HEAVY DUTY SİLİNDİR</v>
          </cell>
          <cell r="D64">
            <v>2134</v>
          </cell>
          <cell r="E64">
            <v>3094</v>
          </cell>
        </row>
        <row r="65">
          <cell r="A65" t="str">
            <v>TBC1503</v>
          </cell>
          <cell r="B65" t="str">
            <v>SHD-CYL-12,5-525-SCR</v>
          </cell>
          <cell r="C65" t="str">
            <v xml:space="preserve">12,5 KVAR 525V HEAVY DUTY SİLİNDİR </v>
          </cell>
          <cell r="D65">
            <v>2583</v>
          </cell>
          <cell r="E65">
            <v>3745</v>
          </cell>
        </row>
        <row r="66">
          <cell r="A66" t="str">
            <v>TBC1504</v>
          </cell>
          <cell r="B66" t="str">
            <v>SHD-CYL-15-525-SCR</v>
          </cell>
          <cell r="C66" t="str">
            <v>15 KVAR 525V HEAVY DUTY SİLİNDİR</v>
          </cell>
          <cell r="D66">
            <v>2862</v>
          </cell>
          <cell r="E66">
            <v>4150</v>
          </cell>
        </row>
        <row r="67">
          <cell r="A67" t="str">
            <v>TBC1505</v>
          </cell>
          <cell r="B67" t="str">
            <v>SHD-CYL-16,7-525-SCR</v>
          </cell>
          <cell r="C67" t="str">
            <v>16,7 KVAR SUPER H.DUTY 525 V SİLİNDİR</v>
          </cell>
          <cell r="D67">
            <v>3159</v>
          </cell>
          <cell r="E67">
            <v>4581</v>
          </cell>
        </row>
        <row r="68">
          <cell r="A68" t="str">
            <v>TBC1506</v>
          </cell>
          <cell r="B68" t="str">
            <v>SHD-CYL-20-525-SCR</v>
          </cell>
          <cell r="C68" t="str">
            <v xml:space="preserve">20 KVAR 525V HEAVY DUTY SİLİNDİR </v>
          </cell>
          <cell r="D68">
            <v>3461</v>
          </cell>
          <cell r="E68">
            <v>5018</v>
          </cell>
        </row>
        <row r="69">
          <cell r="A69" t="str">
            <v>TBC1507</v>
          </cell>
          <cell r="B69" t="str">
            <v>SHD-CYL-25-525-SCR</v>
          </cell>
          <cell r="C69" t="str">
            <v xml:space="preserve">25 KVAR 525V HEAVY DUTY SİLİNDİR </v>
          </cell>
          <cell r="D69">
            <v>4748</v>
          </cell>
          <cell r="E69">
            <v>6885</v>
          </cell>
        </row>
        <row r="70">
          <cell r="A70" t="str">
            <v>TBC1508</v>
          </cell>
          <cell r="B70" t="str">
            <v>SHD-CYL-30-525-SCR</v>
          </cell>
          <cell r="C70" t="str">
            <v xml:space="preserve">30 KVAR 525V HEAVY DUTY SİLİNDİR </v>
          </cell>
          <cell r="D70">
            <v>5373</v>
          </cell>
          <cell r="E70">
            <v>7791</v>
          </cell>
        </row>
        <row r="71">
          <cell r="A71" t="str">
            <v>TBC1509</v>
          </cell>
          <cell r="B71" t="str">
            <v>SHD-CYL-40-525-SCR</v>
          </cell>
          <cell r="C71" t="str">
            <v xml:space="preserve">40 KVAR 525V HEAVY DUTY SİLİNDİR </v>
          </cell>
          <cell r="D71">
            <v>7826</v>
          </cell>
          <cell r="E71">
            <v>11348</v>
          </cell>
        </row>
        <row r="73">
          <cell r="A73" t="str">
            <v>TBC1600</v>
          </cell>
          <cell r="B73" t="str">
            <v>SHD-CYL-20-690-SCR</v>
          </cell>
          <cell r="C73" t="str">
            <v xml:space="preserve">20 KVAR 690V SUPER DUTY  SİLİNDİR </v>
          </cell>
          <cell r="D73">
            <v>5691</v>
          </cell>
          <cell r="E73">
            <v>8252</v>
          </cell>
        </row>
        <row r="74">
          <cell r="A74" t="str">
            <v>TBC1601</v>
          </cell>
          <cell r="B74" t="str">
            <v>SHD-CYL-25-690-SCR</v>
          </cell>
          <cell r="C74" t="str">
            <v>25 KVAR 690V SUPER DUTY  SİLİNDİR</v>
          </cell>
          <cell r="D74">
            <v>7012</v>
          </cell>
          <cell r="E74">
            <v>10167</v>
          </cell>
        </row>
        <row r="75">
          <cell r="A75" t="str">
            <v>TBC1602</v>
          </cell>
          <cell r="B75" t="str">
            <v>SHD-CYL-30-690-SCR</v>
          </cell>
          <cell r="C75" t="str">
            <v>30 KVAR 690V SUPER DUTY  SİLİNDİR</v>
          </cell>
          <cell r="D75">
            <v>7719</v>
          </cell>
          <cell r="E75">
            <v>11193</v>
          </cell>
        </row>
        <row r="77">
          <cell r="A77" t="str">
            <v>TBC1700</v>
          </cell>
          <cell r="B77" t="str">
            <v>SHD-CYL-20-830-SCR</v>
          </cell>
          <cell r="C77" t="str">
            <v xml:space="preserve">20 KVAR 830V SUPER DUTY  SİLİNDİR </v>
          </cell>
          <cell r="D77">
            <v>7668</v>
          </cell>
          <cell r="E77">
            <v>11119</v>
          </cell>
        </row>
        <row r="78">
          <cell r="A78" t="str">
            <v>TBC1701</v>
          </cell>
          <cell r="B78" t="str">
            <v>SHD-CYL-30-830-SCS</v>
          </cell>
          <cell r="C78" t="str">
            <v xml:space="preserve">30 KVAR 830V SUPER DUTY  SİLİNDİR </v>
          </cell>
          <cell r="D78">
            <v>9960</v>
          </cell>
          <cell r="E78">
            <v>14442</v>
          </cell>
        </row>
        <row r="79">
          <cell r="A79" t="str">
            <v>TBC1702</v>
          </cell>
          <cell r="B79" t="str">
            <v>SHD-CYL-40-830-SCR</v>
          </cell>
          <cell r="C79" t="str">
            <v xml:space="preserve">40 KVAR 830V SUPER DUTY  SİLİNDİR </v>
          </cell>
          <cell r="D79">
            <v>12981</v>
          </cell>
          <cell r="E79">
            <v>18822</v>
          </cell>
        </row>
        <row r="81">
          <cell r="A81" t="str">
            <v>TBOG3600</v>
          </cell>
          <cell r="B81" t="str">
            <v>OG-6,062-75-1P</v>
          </cell>
          <cell r="C81" t="str">
            <v>6,062 kV 75 kVAr 1 ph 1 bushings MV Capacitor</v>
          </cell>
          <cell r="D81">
            <v>982.85714285714289</v>
          </cell>
          <cell r="E81">
            <v>1425</v>
          </cell>
        </row>
        <row r="82">
          <cell r="A82" t="str">
            <v>TBOG3601</v>
          </cell>
          <cell r="B82" t="str">
            <v>OG-6,062-100-1P</v>
          </cell>
          <cell r="C82" t="str">
            <v>6,062 kV 100 kVAr 1 ph 1 bushings MV Capacitor</v>
          </cell>
          <cell r="D82">
            <v>1154.2857142857144</v>
          </cell>
          <cell r="E82">
            <v>1674</v>
          </cell>
        </row>
        <row r="83">
          <cell r="A83" t="str">
            <v>TBOG3602</v>
          </cell>
          <cell r="B83" t="str">
            <v>OG-6,062-150-1P</v>
          </cell>
          <cell r="C83" t="str">
            <v>6,062 kV 150 kVAr 1 ph 1 bushings MV Capacitor</v>
          </cell>
          <cell r="D83">
            <v>1405.7142857142858</v>
          </cell>
          <cell r="E83">
            <v>2038</v>
          </cell>
        </row>
        <row r="84">
          <cell r="A84" t="str">
            <v>TBOG3603</v>
          </cell>
          <cell r="B84" t="str">
            <v>OG-6,062-200-1P</v>
          </cell>
          <cell r="C84" t="str">
            <v>6,062 kV 200 kVAr 1 ph 1 bushings MV Capacitor</v>
          </cell>
          <cell r="D84">
            <v>1725.7142857142858</v>
          </cell>
          <cell r="E84">
            <v>2502</v>
          </cell>
        </row>
        <row r="85">
          <cell r="A85" t="str">
            <v>TBOG3604</v>
          </cell>
          <cell r="B85" t="str">
            <v>OG-6,062-300-1P</v>
          </cell>
          <cell r="C85" t="str">
            <v>6,062 kV 300 kVAr 1 ph 1 bushings MV Capacitor</v>
          </cell>
          <cell r="D85">
            <v>2262.8571428571431</v>
          </cell>
          <cell r="E85">
            <v>3281</v>
          </cell>
        </row>
        <row r="86">
          <cell r="A86" t="str">
            <v>TBOG3605</v>
          </cell>
          <cell r="B86" t="str">
            <v>OG-6,062-400-417-1P</v>
          </cell>
          <cell r="C86" t="str">
            <v>6,062 kV 400-417 kVAr 1 ph 1 bushings MV Capacitor</v>
          </cell>
          <cell r="D86">
            <v>2851.4285714285716</v>
          </cell>
          <cell r="E86">
            <v>4135</v>
          </cell>
        </row>
        <row r="88">
          <cell r="A88" t="str">
            <v>TBOG3606</v>
          </cell>
          <cell r="B88" t="str">
            <v>OG-9,122-75-1P</v>
          </cell>
          <cell r="C88" t="str">
            <v>9,122 kV 75 kVAr 1 ph 1 bushings MV Capacitor</v>
          </cell>
          <cell r="D88">
            <v>988.57142857142867</v>
          </cell>
          <cell r="E88">
            <v>1433</v>
          </cell>
        </row>
        <row r="89">
          <cell r="A89" t="str">
            <v>TBOG3607</v>
          </cell>
          <cell r="B89" t="str">
            <v>OG-9,122-100-1P</v>
          </cell>
          <cell r="C89" t="str">
            <v>9,122 kV 100 kVAr 1 ph 1 bushings MV Capacitor</v>
          </cell>
          <cell r="D89">
            <v>1154.2857142857144</v>
          </cell>
          <cell r="E89">
            <v>1674</v>
          </cell>
        </row>
        <row r="90">
          <cell r="A90" t="str">
            <v>TBOG3608</v>
          </cell>
          <cell r="B90" t="str">
            <v>OG-9,122-150-1P</v>
          </cell>
          <cell r="C90" t="str">
            <v>9,122 kV 150 kVAr 1 ph 1 bushings MV Capacitor</v>
          </cell>
          <cell r="D90">
            <v>1405.7142857142858</v>
          </cell>
          <cell r="E90">
            <v>2038</v>
          </cell>
        </row>
        <row r="91">
          <cell r="A91" t="str">
            <v>TBOG3609</v>
          </cell>
          <cell r="B91" t="str">
            <v>OG-9,122-200-1P</v>
          </cell>
          <cell r="C91" t="str">
            <v>9,122 kV 200 kVAr 1 ph 1 bushings MV Capacitor</v>
          </cell>
          <cell r="D91">
            <v>1725.7142857142858</v>
          </cell>
          <cell r="E91">
            <v>2502</v>
          </cell>
        </row>
        <row r="92">
          <cell r="A92" t="str">
            <v>TBOG3610</v>
          </cell>
          <cell r="B92" t="str">
            <v>OG-9,122-300-1P</v>
          </cell>
          <cell r="C92" t="str">
            <v>9,122 kV 300 kVAr 1 ph 1 bushings MV Capacitor</v>
          </cell>
          <cell r="D92">
            <v>2320</v>
          </cell>
          <cell r="E92">
            <v>3364</v>
          </cell>
        </row>
        <row r="93">
          <cell r="A93" t="str">
            <v>TBOG3611</v>
          </cell>
          <cell r="B93" t="str">
            <v>OG-9,122-400-417-1P</v>
          </cell>
          <cell r="C93" t="str">
            <v>9,122 kV 400-417 kVAr 1 ph 1 bushings MV Capacitor</v>
          </cell>
          <cell r="D93">
            <v>2908.5714285714289</v>
          </cell>
          <cell r="E93">
            <v>4217</v>
          </cell>
        </row>
        <row r="95">
          <cell r="A95" t="str">
            <v>TBOG3612</v>
          </cell>
          <cell r="B95" t="str">
            <v>OG-19,918-75-1P</v>
          </cell>
          <cell r="C95" t="str">
            <v>19,918 kV 75 kVAr 1 ph 1 bushings MV Capacitor</v>
          </cell>
          <cell r="D95">
            <v>1114.2857142857144</v>
          </cell>
          <cell r="E95">
            <v>1616</v>
          </cell>
        </row>
        <row r="96">
          <cell r="A96" t="str">
            <v>TBOG3613</v>
          </cell>
          <cell r="B96" t="str">
            <v>OG-19,918-100-1P</v>
          </cell>
          <cell r="C96" t="str">
            <v>19,918 kV 100 kVAr 1 ph 1 bushings MV Capacitor</v>
          </cell>
          <cell r="D96">
            <v>1274.2857142857144</v>
          </cell>
          <cell r="E96">
            <v>1848</v>
          </cell>
        </row>
        <row r="97">
          <cell r="A97" t="str">
            <v>TBOG3614</v>
          </cell>
          <cell r="B97" t="str">
            <v>OG-19,918-150-1P</v>
          </cell>
          <cell r="C97" t="str">
            <v>19,918 kV 150 kVAr 1 ph 1 bushings MV Capacitor</v>
          </cell>
          <cell r="D97">
            <v>1571.4285714285716</v>
          </cell>
          <cell r="E97">
            <v>2279</v>
          </cell>
        </row>
        <row r="98">
          <cell r="A98" t="str">
            <v>TBOG3615</v>
          </cell>
          <cell r="B98" t="str">
            <v>OG-19,918-200-1P</v>
          </cell>
          <cell r="C98" t="str">
            <v>19,918 kV 200 kVAr 1 ph 1 bushings MV Capacitor</v>
          </cell>
          <cell r="D98">
            <v>1800.0000000000002</v>
          </cell>
          <cell r="E98">
            <v>2610</v>
          </cell>
        </row>
        <row r="99">
          <cell r="A99" t="str">
            <v>TBOG3616</v>
          </cell>
          <cell r="B99" t="str">
            <v>OG-19,918-300-1P</v>
          </cell>
          <cell r="C99" t="str">
            <v>19,918 kV 300 kVAr 1 ph 1 bushings MV Capacitor</v>
          </cell>
          <cell r="D99">
            <v>2417.1428571428573</v>
          </cell>
          <cell r="E99">
            <v>3505</v>
          </cell>
        </row>
        <row r="100">
          <cell r="A100" t="str">
            <v>TBOG3617</v>
          </cell>
          <cell r="B100" t="str">
            <v>OG-19,918-400-417-1P</v>
          </cell>
          <cell r="C100" t="str">
            <v>19,918 kV 400-417 kVAr 1 ph 1 bushings MV Capacitor</v>
          </cell>
          <cell r="D100">
            <v>2948.5714285714289</v>
          </cell>
          <cell r="E100">
            <v>4275</v>
          </cell>
        </row>
        <row r="102">
          <cell r="A102" t="str">
            <v>TBOG3618</v>
          </cell>
          <cell r="B102" t="str">
            <v>OG-3,3-50-3P</v>
          </cell>
          <cell r="C102" t="str">
            <v>3,3 kV 50 kVAr 3 ph 3 bushings MV Capacitor</v>
          </cell>
          <cell r="D102">
            <v>1040</v>
          </cell>
          <cell r="E102">
            <v>1508</v>
          </cell>
        </row>
        <row r="103">
          <cell r="A103" t="str">
            <v>TBOG3619</v>
          </cell>
          <cell r="B103" t="str">
            <v>OG-3,3-75-3P</v>
          </cell>
          <cell r="C103" t="str">
            <v>3,3 kV 75 kVAr 3 ph 3 bushings MV Capacitor</v>
          </cell>
          <cell r="D103">
            <v>1200</v>
          </cell>
          <cell r="E103">
            <v>1740</v>
          </cell>
        </row>
        <row r="104">
          <cell r="A104" t="str">
            <v>TBOG3620</v>
          </cell>
          <cell r="B104" t="str">
            <v>OG-3,3-100-3P</v>
          </cell>
          <cell r="C104" t="str">
            <v>3,3 kV 100 kVAr 3 ph 3 bushings MV Capacitor</v>
          </cell>
          <cell r="D104">
            <v>1382.8571428571429</v>
          </cell>
          <cell r="E104">
            <v>2005</v>
          </cell>
        </row>
        <row r="105">
          <cell r="A105" t="str">
            <v>TBOG3621</v>
          </cell>
          <cell r="B105" t="str">
            <v>OG-3,3-125-3P</v>
          </cell>
          <cell r="C105" t="str">
            <v>3,3 kV 125 kVAr 3 ph 3 bushings MV Capacitor</v>
          </cell>
          <cell r="D105">
            <v>1531.4285714285716</v>
          </cell>
          <cell r="E105">
            <v>2221</v>
          </cell>
        </row>
        <row r="106">
          <cell r="A106" t="str">
            <v>TBOG3622</v>
          </cell>
          <cell r="B106" t="str">
            <v>OG-3,3-150-3P</v>
          </cell>
          <cell r="C106" t="str">
            <v>3,3 kV 150 kVAr 3 ph 3 bushings MV Capacitor</v>
          </cell>
          <cell r="D106">
            <v>1714.2857142857144</v>
          </cell>
          <cell r="E106">
            <v>2486</v>
          </cell>
        </row>
        <row r="107">
          <cell r="A107" t="str">
            <v>TBOG3623</v>
          </cell>
          <cell r="B107" t="str">
            <v>OG-3,3-200-3P</v>
          </cell>
          <cell r="C107" t="str">
            <v>3,3 kV 200 kVAr 3 ph 3 bushings MV Capacitor</v>
          </cell>
          <cell r="D107">
            <v>2074.2857142857142</v>
          </cell>
          <cell r="E107">
            <v>3008</v>
          </cell>
        </row>
        <row r="108">
          <cell r="A108" t="str">
            <v>TBOG3624</v>
          </cell>
          <cell r="B108" t="str">
            <v>OG-3,3-250-3P</v>
          </cell>
          <cell r="C108" t="str">
            <v>3,3 kV 250 kVAr 3 ph 3 bushings MV Capacitor</v>
          </cell>
          <cell r="D108">
            <v>2417.1428571428573</v>
          </cell>
          <cell r="E108">
            <v>3505</v>
          </cell>
        </row>
        <row r="109">
          <cell r="A109" t="str">
            <v>TBOG3625</v>
          </cell>
          <cell r="B109" t="str">
            <v>OG-3,3-300-3P</v>
          </cell>
          <cell r="C109" t="str">
            <v>3,3 kV 300 kVAr 3 ph 3 bushings MV Capacitor</v>
          </cell>
          <cell r="D109">
            <v>2845.7142857142858</v>
          </cell>
          <cell r="E109">
            <v>4126</v>
          </cell>
        </row>
        <row r="110">
          <cell r="A110" t="str">
            <v>TBOG3626</v>
          </cell>
          <cell r="B110" t="str">
            <v>OG-3,3-400-3P</v>
          </cell>
          <cell r="C110" t="str">
            <v>3,3 kV 400 kVAr 3 ph 3 bushings MV Capacitor</v>
          </cell>
          <cell r="D110">
            <v>3702.8571428571431</v>
          </cell>
          <cell r="E110">
            <v>5369</v>
          </cell>
        </row>
        <row r="111">
          <cell r="A111" t="str">
            <v>TBOG3627</v>
          </cell>
          <cell r="B111" t="str">
            <v>OG-3,3-500-3P</v>
          </cell>
          <cell r="C111" t="str">
            <v>3,3 kV 500 kVAr 3 ph 3 bushings MV Capacitor</v>
          </cell>
          <cell r="D111">
            <v>4468.5714285714284</v>
          </cell>
          <cell r="E111">
            <v>6479</v>
          </cell>
        </row>
        <row r="112">
          <cell r="A112" t="str">
            <v>TBOG3628</v>
          </cell>
          <cell r="B112" t="str">
            <v>OG-3,3-600-3P</v>
          </cell>
          <cell r="C112" t="str">
            <v>3,3 kV 600 kVAr 3 ph 3 bushings MV Capacitor</v>
          </cell>
          <cell r="D112">
            <v>5182.8571428571431</v>
          </cell>
          <cell r="E112">
            <v>7515</v>
          </cell>
        </row>
        <row r="113">
          <cell r="A113" t="str">
            <v>TBOG3629</v>
          </cell>
          <cell r="B113" t="str">
            <v>OG-3,3-660-3P</v>
          </cell>
          <cell r="C113" t="str">
            <v>3,3 kV 660 kVAr 3 ph 3 bushings MV Capacitor</v>
          </cell>
          <cell r="D113">
            <v>5611.4285714285716</v>
          </cell>
          <cell r="E113">
            <v>8137</v>
          </cell>
        </row>
        <row r="115">
          <cell r="A115" t="str">
            <v>TBOG3630</v>
          </cell>
          <cell r="B115" t="str">
            <v>OG-6,3-50-3P</v>
          </cell>
          <cell r="C115" t="str">
            <v>6,3 kV 50 kVAr 3 ph 3 bushings MV Capacitor</v>
          </cell>
          <cell r="D115">
            <v>971.42857142857144</v>
          </cell>
          <cell r="E115">
            <v>1409</v>
          </cell>
        </row>
        <row r="116">
          <cell r="A116" t="str">
            <v>TBOG3631</v>
          </cell>
          <cell r="B116" t="str">
            <v>OG-6,3-75-3P</v>
          </cell>
          <cell r="C116" t="str">
            <v>6,3 kV 75 kVAr 3 ph 3 bushings MV Capacitor</v>
          </cell>
          <cell r="D116">
            <v>1125.7142857142858</v>
          </cell>
          <cell r="E116">
            <v>1632</v>
          </cell>
        </row>
        <row r="117">
          <cell r="A117" t="str">
            <v>TBOG3632</v>
          </cell>
          <cell r="B117" t="str">
            <v>OG-6,3-100-3P</v>
          </cell>
          <cell r="C117" t="str">
            <v>6,3 kV 100 kVAr 3 ph 3 bushings MV Capacitor</v>
          </cell>
          <cell r="D117">
            <v>1262.8571428571429</v>
          </cell>
          <cell r="E117">
            <v>1831</v>
          </cell>
        </row>
        <row r="118">
          <cell r="A118" t="str">
            <v>TBOG3633</v>
          </cell>
          <cell r="B118" t="str">
            <v>OG-6,3-125-3P</v>
          </cell>
          <cell r="C118" t="str">
            <v>6,3 kV 125 kVAr 3 ph 3 bushings MV Capacitor</v>
          </cell>
          <cell r="D118">
            <v>1405.7142857142858</v>
          </cell>
          <cell r="E118">
            <v>2038</v>
          </cell>
        </row>
        <row r="119">
          <cell r="A119" t="str">
            <v>TBOG3634</v>
          </cell>
          <cell r="B119" t="str">
            <v>OG-6,3-150-3P</v>
          </cell>
          <cell r="C119" t="str">
            <v>6,3 kV 150 kVAr 3 ph 3 bushings MV Capacitor</v>
          </cell>
          <cell r="D119">
            <v>1537.1428571428573</v>
          </cell>
          <cell r="E119">
            <v>2229</v>
          </cell>
        </row>
        <row r="120">
          <cell r="A120" t="str">
            <v>TBOG3635</v>
          </cell>
          <cell r="B120" t="str">
            <v>OG-6,3-200-3P</v>
          </cell>
          <cell r="C120" t="str">
            <v>6,3 kV 200 kVAr 3 ph 3 bushings MV Capacitor</v>
          </cell>
          <cell r="D120">
            <v>1822.8571428571429</v>
          </cell>
          <cell r="E120">
            <v>2643</v>
          </cell>
        </row>
        <row r="121">
          <cell r="A121" t="str">
            <v>TBOG3636</v>
          </cell>
          <cell r="B121" t="str">
            <v>OG-6,3-250-3P</v>
          </cell>
          <cell r="C121" t="str">
            <v>6,3 kV 250 kVAr 3 ph 3 bushings MV Capacitor</v>
          </cell>
          <cell r="D121">
            <v>2102.8571428571431</v>
          </cell>
          <cell r="E121">
            <v>3049</v>
          </cell>
        </row>
        <row r="122">
          <cell r="A122" t="str">
            <v>TBOG3637</v>
          </cell>
          <cell r="B122" t="str">
            <v>OG-6,3-300-3P</v>
          </cell>
          <cell r="C122" t="str">
            <v>6,3 kV 300 kVAr 3 ph 3 bushings MV Capacitor</v>
          </cell>
          <cell r="D122">
            <v>2411.4285714285716</v>
          </cell>
          <cell r="E122">
            <v>3497</v>
          </cell>
        </row>
        <row r="123">
          <cell r="A123" t="str">
            <v>TBOG3638</v>
          </cell>
          <cell r="B123" t="str">
            <v>OG-6,3-400-3P</v>
          </cell>
          <cell r="C123" t="str">
            <v>6,3 kV 400 kVAr 3 ph 3 bushings MV Capacitor</v>
          </cell>
          <cell r="D123">
            <v>3017.1428571428573</v>
          </cell>
          <cell r="E123">
            <v>4375</v>
          </cell>
        </row>
        <row r="124">
          <cell r="A124" t="str">
            <v>TBOG3639</v>
          </cell>
          <cell r="B124" t="str">
            <v>OG-6,3-500-3P</v>
          </cell>
          <cell r="C124" t="str">
            <v>6,3 kV 500 kVAr 3 ph 3 bushings MV Capacitor</v>
          </cell>
          <cell r="D124">
            <v>3611.4285714285716</v>
          </cell>
          <cell r="E124">
            <v>5237</v>
          </cell>
        </row>
        <row r="125">
          <cell r="A125" t="str">
            <v>TBOG3640</v>
          </cell>
          <cell r="B125" t="str">
            <v>OG-6,3-600-3P</v>
          </cell>
          <cell r="C125" t="str">
            <v>6,3 kV 600 kVAr 3 ph 3 bushings MV Capacitor</v>
          </cell>
          <cell r="D125">
            <v>4188.5714285714284</v>
          </cell>
          <cell r="E125">
            <v>6073</v>
          </cell>
        </row>
        <row r="126">
          <cell r="A126" t="str">
            <v>TBOG3641</v>
          </cell>
          <cell r="B126" t="str">
            <v>OG-6,3-660-3P</v>
          </cell>
          <cell r="C126" t="str">
            <v>6,3 kV 660 kVAr 3 ph 3 bushings MV Capacitor</v>
          </cell>
          <cell r="D126">
            <v>4468.5714285714284</v>
          </cell>
          <cell r="E126">
            <v>6479</v>
          </cell>
        </row>
        <row r="128">
          <cell r="A128" t="str">
            <v>TBOG3642</v>
          </cell>
          <cell r="B128" t="str">
            <v>OG-7,2-50-3P</v>
          </cell>
          <cell r="C128" t="str">
            <v>7,2 kV 50 kVAr 3 ph 3 bushings MV Capacitor</v>
          </cell>
          <cell r="D128">
            <v>971.42857142857144</v>
          </cell>
          <cell r="E128">
            <v>1409</v>
          </cell>
        </row>
        <row r="129">
          <cell r="A129" t="str">
            <v>TBOG3643</v>
          </cell>
          <cell r="B129" t="str">
            <v>OG-7,2-75-3P</v>
          </cell>
          <cell r="C129" t="str">
            <v>7,2 kV 75 kVAr 3 ph 3 bushings MV Capacitor</v>
          </cell>
          <cell r="D129">
            <v>1142.8571428571429</v>
          </cell>
          <cell r="E129">
            <v>1657</v>
          </cell>
        </row>
        <row r="130">
          <cell r="A130" t="str">
            <v>TBOG3644</v>
          </cell>
          <cell r="B130" t="str">
            <v>OG-7.2-100-3P</v>
          </cell>
          <cell r="C130" t="str">
            <v>7.2 kV 100 kVAr 3 ph 3 bushings MV Capacitor</v>
          </cell>
          <cell r="D130">
            <v>1274.2857142857144</v>
          </cell>
          <cell r="E130">
            <v>1848</v>
          </cell>
        </row>
        <row r="131">
          <cell r="A131" t="str">
            <v>TBOG3645</v>
          </cell>
          <cell r="B131" t="str">
            <v>OG-7,2-125-3P</v>
          </cell>
          <cell r="C131" t="str">
            <v>7,2 kV 125 kVAr 3 ph 3 bushings MV Capacitor</v>
          </cell>
          <cell r="D131">
            <v>1405.7142857142858</v>
          </cell>
          <cell r="E131">
            <v>2038</v>
          </cell>
        </row>
        <row r="132">
          <cell r="A132" t="str">
            <v>TBOG3646</v>
          </cell>
          <cell r="B132" t="str">
            <v>OG-7,2-150-3P</v>
          </cell>
          <cell r="C132" t="str">
            <v>7,2 kV 150 kVAr 3 ph 3 bushings MV Capacitor</v>
          </cell>
          <cell r="D132">
            <v>1571.4285714285716</v>
          </cell>
          <cell r="E132">
            <v>2279</v>
          </cell>
        </row>
        <row r="133">
          <cell r="A133" t="str">
            <v>TBOG3647</v>
          </cell>
          <cell r="B133" t="str">
            <v>OG-7,2-200-3P</v>
          </cell>
          <cell r="C133" t="str">
            <v>7,2 kV 200 kVAr 3 ph 3 bushings MV Capacitor</v>
          </cell>
          <cell r="D133">
            <v>1857.1428571428573</v>
          </cell>
          <cell r="E133">
            <v>2693</v>
          </cell>
        </row>
        <row r="134">
          <cell r="A134" t="str">
            <v>TBOG3648</v>
          </cell>
          <cell r="B134" t="str">
            <v>OG-7,2-250-3P</v>
          </cell>
          <cell r="C134" t="str">
            <v>7,2 kV 250 kVAr 3 ph 3 bushings MV Capacitor</v>
          </cell>
          <cell r="D134">
            <v>2160</v>
          </cell>
          <cell r="E134">
            <v>3132</v>
          </cell>
        </row>
        <row r="135">
          <cell r="A135" t="str">
            <v>TBOG3649</v>
          </cell>
          <cell r="B135" t="str">
            <v>OG-7,2-300-3P</v>
          </cell>
          <cell r="C135" t="str">
            <v>7,2 kV 300 kVAr 3 ph 3 bushings MV Capacitor</v>
          </cell>
          <cell r="D135">
            <v>2474.2857142857142</v>
          </cell>
          <cell r="E135">
            <v>3588</v>
          </cell>
        </row>
        <row r="136">
          <cell r="A136" t="str">
            <v>TBOG3650</v>
          </cell>
          <cell r="B136" t="str">
            <v>OG-7,2-400-3P</v>
          </cell>
          <cell r="C136" t="str">
            <v>7,2 kV 400 kVAr 3 ph 3 bushings MV Capacitor</v>
          </cell>
          <cell r="D136">
            <v>3080</v>
          </cell>
          <cell r="E136">
            <v>4466</v>
          </cell>
        </row>
        <row r="137">
          <cell r="A137" t="str">
            <v>TBOG3651</v>
          </cell>
          <cell r="B137" t="str">
            <v>OG-7,2-500-3P</v>
          </cell>
          <cell r="C137" t="str">
            <v>7,2 kV 500 kVAr 3 ph 3 bushings MV Capacitor</v>
          </cell>
          <cell r="D137">
            <v>3868.5714285714289</v>
          </cell>
          <cell r="E137">
            <v>5609</v>
          </cell>
        </row>
        <row r="138">
          <cell r="A138" t="str">
            <v>TBOG3652</v>
          </cell>
          <cell r="B138" t="str">
            <v>OG-7,2-600-3P</v>
          </cell>
          <cell r="C138" t="str">
            <v>7,2 kV 600 kVAr 3 ph 3 bushings MV Capacitor</v>
          </cell>
          <cell r="D138">
            <v>4422.8571428571431</v>
          </cell>
          <cell r="E138">
            <v>6413</v>
          </cell>
        </row>
        <row r="139">
          <cell r="A139" t="str">
            <v>TBOG3653</v>
          </cell>
          <cell r="B139" t="str">
            <v>OG-7,2-660-3P</v>
          </cell>
          <cell r="C139" t="str">
            <v>7,2 kV 660 kVAr 3 ph 3 bushings MV Capacitor</v>
          </cell>
          <cell r="D139">
            <v>4754.2857142857147</v>
          </cell>
          <cell r="E139">
            <v>6894</v>
          </cell>
        </row>
        <row r="141">
          <cell r="A141" t="str">
            <v>TBAHF3300</v>
          </cell>
          <cell r="B141" t="str">
            <v>TBC-AHF-W-30 A</v>
          </cell>
          <cell r="C141" t="str">
            <v>AHF WALL TYPE 30 A</v>
          </cell>
          <cell r="D141">
            <v>6288.5714285714294</v>
          </cell>
          <cell r="E141">
            <v>9118</v>
          </cell>
        </row>
        <row r="142">
          <cell r="A142" t="str">
            <v>TBAHF3301</v>
          </cell>
          <cell r="B142" t="str">
            <v>TBC-AHF-W-50 A</v>
          </cell>
          <cell r="C142" t="str">
            <v>AHF WALL TYPE 50 A</v>
          </cell>
          <cell r="D142">
            <v>7351.4285714285716</v>
          </cell>
          <cell r="E142">
            <v>10660</v>
          </cell>
        </row>
        <row r="143">
          <cell r="A143" t="str">
            <v>TBAHF3302</v>
          </cell>
          <cell r="B143" t="str">
            <v>TBC-AHF-W-75 A</v>
          </cell>
          <cell r="C143" t="str">
            <v>AHF WALL TYPE 75 A</v>
          </cell>
          <cell r="D143">
            <v>8768.5714285714294</v>
          </cell>
          <cell r="E143">
            <v>12714</v>
          </cell>
        </row>
        <row r="144">
          <cell r="A144" t="str">
            <v>TBAHF3303</v>
          </cell>
          <cell r="B144" t="str">
            <v>TBC-AHF-W-100 A</v>
          </cell>
          <cell r="C144" t="str">
            <v>AHF WALL TYPE 100 A</v>
          </cell>
          <cell r="D144">
            <v>9760.5714285714294</v>
          </cell>
          <cell r="E144">
            <v>14153</v>
          </cell>
        </row>
        <row r="145">
          <cell r="A145" t="str">
            <v>TBAHF3304</v>
          </cell>
          <cell r="B145" t="str">
            <v>TBC-AHF-W-150 A</v>
          </cell>
          <cell r="C145" t="str">
            <v>AHF WALL TYPE 150 A</v>
          </cell>
          <cell r="D145">
            <v>12276.000000000002</v>
          </cell>
          <cell r="E145">
            <v>17800</v>
          </cell>
        </row>
        <row r="146">
          <cell r="A146" t="str">
            <v>TBSVG3011</v>
          </cell>
          <cell r="B146" t="str">
            <v>TBC-AHF-W-200 A</v>
          </cell>
          <cell r="C146" t="str">
            <v>AHF WALL TYPE 200 A</v>
          </cell>
          <cell r="D146">
            <v>16385.714285714286</v>
          </cell>
          <cell r="E146">
            <v>23759</v>
          </cell>
        </row>
        <row r="147">
          <cell r="A147" t="str">
            <v>TBAHF3305</v>
          </cell>
          <cell r="B147" t="str">
            <v>TBC-AHF-R-30 A</v>
          </cell>
          <cell r="C147" t="str">
            <v>AHF RACK TYPE 30 A</v>
          </cell>
          <cell r="D147">
            <v>5845.7142857142862</v>
          </cell>
          <cell r="E147">
            <v>8476</v>
          </cell>
        </row>
        <row r="148">
          <cell r="A148" t="str">
            <v>TBAHF3306</v>
          </cell>
          <cell r="B148" t="str">
            <v>TBC-AHF-R-50 A</v>
          </cell>
          <cell r="C148" t="str">
            <v>AHF RACK TYPE 50 A</v>
          </cell>
          <cell r="D148">
            <v>6908.5714285714294</v>
          </cell>
          <cell r="E148">
            <v>10017</v>
          </cell>
        </row>
        <row r="149">
          <cell r="A149" t="str">
            <v>TBAHF3307</v>
          </cell>
          <cell r="B149" t="str">
            <v>TBC-AHF-R-75 A</v>
          </cell>
          <cell r="C149" t="str">
            <v>AHF RACK TYPE 75 A</v>
          </cell>
          <cell r="D149">
            <v>8325.7142857142862</v>
          </cell>
          <cell r="E149">
            <v>12072</v>
          </cell>
        </row>
        <row r="150">
          <cell r="A150" t="str">
            <v>TBAHF3308</v>
          </cell>
          <cell r="B150" t="str">
            <v>TBC-AHF-R-100 A</v>
          </cell>
          <cell r="C150" t="str">
            <v>AHF RACK TYPE 100 A</v>
          </cell>
          <cell r="D150">
            <v>9317.7142857142862</v>
          </cell>
          <cell r="E150">
            <v>13511</v>
          </cell>
        </row>
        <row r="151">
          <cell r="A151" t="str">
            <v>TBAHF3309</v>
          </cell>
          <cell r="B151" t="str">
            <v>TBC-AHF-R-150 A</v>
          </cell>
          <cell r="C151" t="str">
            <v>AHF RACK TYPE 150 A</v>
          </cell>
          <cell r="D151">
            <v>11833.142857142859</v>
          </cell>
          <cell r="E151">
            <v>17158</v>
          </cell>
        </row>
        <row r="152">
          <cell r="A152" t="str">
            <v>TBAHF3010</v>
          </cell>
          <cell r="B152" t="str">
            <v>TBC-AHF-R-200 A</v>
          </cell>
          <cell r="C152" t="str">
            <v>AHF RACK TYPE 200 A</v>
          </cell>
          <cell r="D152">
            <v>15942.857142857143</v>
          </cell>
          <cell r="E152">
            <v>23117</v>
          </cell>
        </row>
        <row r="154">
          <cell r="A154" t="str">
            <v>TBSVG3001</v>
          </cell>
          <cell r="B154" t="str">
            <v>TBC-SVG-W-30 A</v>
          </cell>
          <cell r="C154" t="str">
            <v>SVG WALL TYPE 30 kVAr</v>
          </cell>
          <cell r="D154">
            <v>6172.8571428571431</v>
          </cell>
          <cell r="E154">
            <v>8951</v>
          </cell>
        </row>
        <row r="155">
          <cell r="A155" t="str">
            <v>TBSVG3002</v>
          </cell>
          <cell r="B155" t="str">
            <v>TBC-SVG-W-40 A</v>
          </cell>
          <cell r="C155" t="str">
            <v>SVG WALL TYPE 40 kVAr</v>
          </cell>
          <cell r="D155">
            <v>0</v>
          </cell>
          <cell r="E155">
            <v>0</v>
          </cell>
        </row>
        <row r="156">
          <cell r="A156" t="str">
            <v>TBSVG3003</v>
          </cell>
          <cell r="B156" t="str">
            <v>TBC-SVG-W-50 A</v>
          </cell>
          <cell r="C156" t="str">
            <v>SVG WALL TYPE 50 kVAr</v>
          </cell>
          <cell r="D156">
            <v>7042.8571428571431</v>
          </cell>
          <cell r="E156">
            <v>10212</v>
          </cell>
        </row>
        <row r="157">
          <cell r="A157" t="str">
            <v>TBSVG3004</v>
          </cell>
          <cell r="B157" t="str">
            <v>TBC-SVG-W-75 A</v>
          </cell>
          <cell r="C157" t="str">
            <v>SVG WALL TYPE 75 kVAr</v>
          </cell>
          <cell r="D157">
            <v>8749.7142857142862</v>
          </cell>
          <cell r="E157">
            <v>12687</v>
          </cell>
        </row>
        <row r="158">
          <cell r="A158" t="str">
            <v>TBSVG3005</v>
          </cell>
          <cell r="B158" t="str">
            <v>TBC-SVG-W-100 A</v>
          </cell>
          <cell r="C158" t="str">
            <v>SVG WALL TYPE 100 kVAr</v>
          </cell>
          <cell r="D158">
            <v>9777.1428571428569</v>
          </cell>
          <cell r="E158">
            <v>14177</v>
          </cell>
        </row>
        <row r="159">
          <cell r="A159" t="str">
            <v>TBSVG3013</v>
          </cell>
          <cell r="B159" t="str">
            <v>TBC-SVG-W-125 A</v>
          </cell>
          <cell r="C159" t="str">
            <v>SVG WALL TYPE 125 kVAr</v>
          </cell>
          <cell r="D159" t="e">
            <v>#N/A</v>
          </cell>
          <cell r="E159">
            <v>15846</v>
          </cell>
        </row>
        <row r="160">
          <cell r="A160" t="str">
            <v>TBSVG3012</v>
          </cell>
          <cell r="B160" t="str">
            <v>TBC-SVG-W-150 A</v>
          </cell>
          <cell r="C160" t="str">
            <v>SVG WALL TYPE 150 kVAr</v>
          </cell>
          <cell r="D160">
            <v>15328.571428571429</v>
          </cell>
          <cell r="E160">
            <v>22226</v>
          </cell>
        </row>
        <row r="161">
          <cell r="A161" t="str">
            <v>TBSVG3006</v>
          </cell>
          <cell r="B161" t="str">
            <v>TBC-SVG-R30 A</v>
          </cell>
          <cell r="C161" t="str">
            <v>SVG RACK TYPE 30 kVAr</v>
          </cell>
          <cell r="D161">
            <v>5758.5714285714294</v>
          </cell>
          <cell r="E161">
            <v>8350</v>
          </cell>
        </row>
        <row r="162">
          <cell r="A162" t="str">
            <v>TBSVG3007</v>
          </cell>
          <cell r="B162" t="str">
            <v>TBC-SVG-R40 A</v>
          </cell>
          <cell r="C162" t="str">
            <v>SVG RACK TYPE 40 kVAr</v>
          </cell>
          <cell r="D162">
            <v>0</v>
          </cell>
          <cell r="E162">
            <v>0</v>
          </cell>
        </row>
        <row r="163">
          <cell r="A163" t="str">
            <v>TBSVG3009</v>
          </cell>
          <cell r="B163" t="str">
            <v>TBC-SVG-R50 A</v>
          </cell>
          <cell r="C163" t="str">
            <v>SVG RACK TYPE 50 kVAr</v>
          </cell>
          <cell r="D163">
            <v>6628.5714285714294</v>
          </cell>
          <cell r="E163">
            <v>9611</v>
          </cell>
        </row>
        <row r="164">
          <cell r="A164" t="str">
            <v>TBSVG3009</v>
          </cell>
          <cell r="B164" t="str">
            <v>TBC-SVG-R75 A</v>
          </cell>
          <cell r="C164" t="str">
            <v>SVG RACK TYPE 75 kVAr</v>
          </cell>
          <cell r="D164">
            <v>8335.4285714285725</v>
          </cell>
          <cell r="E164">
            <v>12086</v>
          </cell>
        </row>
        <row r="165">
          <cell r="A165" t="str">
            <v>TBSVG3010</v>
          </cell>
          <cell r="B165" t="str">
            <v>TBC-SVG-R100 A</v>
          </cell>
          <cell r="C165" t="str">
            <v>SVG RACK TYPE 100 kVAr</v>
          </cell>
          <cell r="D165">
            <v>9362.8571428571431</v>
          </cell>
          <cell r="E165">
            <v>13576</v>
          </cell>
        </row>
        <row r="166">
          <cell r="A166" t="str">
            <v>TBSVG3014</v>
          </cell>
          <cell r="B166" t="str">
            <v>TBC-SVG-R125 A</v>
          </cell>
          <cell r="C166" t="str">
            <v>SVG RACK TYPE 125 kVAr</v>
          </cell>
          <cell r="D166" t="e">
            <v>#N/A</v>
          </cell>
          <cell r="E166">
            <v>15225</v>
          </cell>
        </row>
        <row r="167">
          <cell r="A167" t="str">
            <v>TBSVG3011</v>
          </cell>
          <cell r="B167" t="str">
            <v>TBC-SVG-R150 A</v>
          </cell>
          <cell r="C167" t="str">
            <v>SVG RACK TYPE 150 kVAr</v>
          </cell>
          <cell r="D167">
            <v>14914.285714285716</v>
          </cell>
          <cell r="E167">
            <v>21626</v>
          </cell>
        </row>
        <row r="169">
          <cell r="A169" t="str">
            <v>TBE2002</v>
          </cell>
          <cell r="B169" t="str">
            <v>TVC-DD-01</v>
          </cell>
          <cell r="C169" t="str">
            <v>DEŞARJ DİRENCİ - 01</v>
          </cell>
          <cell r="D169">
            <v>1574</v>
          </cell>
          <cell r="E169">
            <v>2361</v>
          </cell>
        </row>
        <row r="170">
          <cell r="A170" t="str">
            <v>TBE2003</v>
          </cell>
          <cell r="B170" t="str">
            <v>TVC-DD-02</v>
          </cell>
          <cell r="C170" t="str">
            <v>DEŞARJ DİRENCİ - 02</v>
          </cell>
          <cell r="D170">
            <v>1923</v>
          </cell>
          <cell r="E170">
            <v>2885</v>
          </cell>
        </row>
        <row r="172">
          <cell r="A172" t="str">
            <v>TBE2100</v>
          </cell>
          <cell r="B172" t="str">
            <v>YS-5 ES</v>
          </cell>
          <cell r="C172" t="str">
            <v>YS 5 ES - ENDÜKTİF YÜK SÜRÜCÜ 3*1,16 Kvar</v>
          </cell>
          <cell r="D172">
            <v>8743</v>
          </cell>
          <cell r="E172">
            <v>12677</v>
          </cell>
        </row>
        <row r="173">
          <cell r="A173" t="str">
            <v>TBE2101</v>
          </cell>
          <cell r="B173" t="str">
            <v>YS-10 ES</v>
          </cell>
          <cell r="C173" t="str">
            <v xml:space="preserve">YS-10ES - ENDÜKTİF YÜK SÜRÜCÜ 3*3,5 Kvar </v>
          </cell>
          <cell r="D173">
            <v>10491</v>
          </cell>
          <cell r="E173">
            <v>15212</v>
          </cell>
        </row>
        <row r="174">
          <cell r="A174" t="str">
            <v>TBE2102</v>
          </cell>
          <cell r="B174" t="str">
            <v>YS-20 ES</v>
          </cell>
          <cell r="C174" t="str">
            <v xml:space="preserve">YS 20 ES - ENDÜKTİF YÜK SÜRÜCÜ 3*6 Kvar </v>
          </cell>
          <cell r="D174">
            <v>15387</v>
          </cell>
          <cell r="E174">
            <v>22311</v>
          </cell>
        </row>
        <row r="175">
          <cell r="A175" t="str">
            <v>TBE2103</v>
          </cell>
          <cell r="B175" t="str">
            <v>YS-30 ES</v>
          </cell>
          <cell r="C175" t="str">
            <v xml:space="preserve">YS 30 ES - ENDÜKTİF YÜK SÜRÜCÜ 3*10 Kvar </v>
          </cell>
          <cell r="D175">
            <v>19234</v>
          </cell>
          <cell r="E175">
            <v>27889</v>
          </cell>
        </row>
        <row r="176">
          <cell r="A176" t="str">
            <v>TBE2104</v>
          </cell>
          <cell r="B176" t="str">
            <v>YS-50 ES</v>
          </cell>
          <cell r="C176" t="str">
            <v xml:space="preserve">YS 50 ES - ENDÜKTİF YÜK SÜRÜCÜ 3*10 Kvar </v>
          </cell>
          <cell r="D176">
            <v>26229</v>
          </cell>
          <cell r="E176">
            <v>38032</v>
          </cell>
        </row>
        <row r="177">
          <cell r="A177" t="str">
            <v>TBE2105</v>
          </cell>
          <cell r="B177" t="str">
            <v>YS-60 ES</v>
          </cell>
          <cell r="C177" t="str">
            <v xml:space="preserve">YS 60 ES - ENDÜKTİF YÜK SÜRÜCÜ 3*10 Kvar </v>
          </cell>
          <cell r="D177">
            <v>29726</v>
          </cell>
          <cell r="E177">
            <v>43103</v>
          </cell>
        </row>
        <row r="179">
          <cell r="A179" t="str">
            <v>TBE2200</v>
          </cell>
          <cell r="B179" t="str">
            <v>EA-01</v>
          </cell>
          <cell r="C179" t="str">
            <v>ENERJİ ANALİZÖRÜ EA01 HABERLEŞMELİ</v>
          </cell>
          <cell r="D179">
            <v>6171</v>
          </cell>
          <cell r="E179">
            <v>9565</v>
          </cell>
        </row>
        <row r="180">
          <cell r="A180" t="str">
            <v>TBE2201</v>
          </cell>
          <cell r="B180" t="str">
            <v>EA-03</v>
          </cell>
          <cell r="C180" t="str">
            <v>ENERJİ ANALİZÖRÜ EA03 GELİŞMİŞ HABERLEŞMELİ</v>
          </cell>
          <cell r="D180">
            <v>6943</v>
          </cell>
          <cell r="E180">
            <v>11109</v>
          </cell>
        </row>
        <row r="181">
          <cell r="A181" t="str">
            <v>TBE2202</v>
          </cell>
          <cell r="B181" t="str">
            <v>EA-11</v>
          </cell>
          <cell r="C181" t="str">
            <v>ENERJİ ANALİZÖRÜ EA011</v>
          </cell>
          <cell r="D181">
            <v>5091</v>
          </cell>
          <cell r="E181">
            <v>8146</v>
          </cell>
        </row>
        <row r="182">
          <cell r="A182" t="str">
            <v>TBE2203</v>
          </cell>
          <cell r="B182" t="str">
            <v>EA-12</v>
          </cell>
          <cell r="C182" t="str">
            <v>ENERJİ ANALİZÖRÜ EA012</v>
          </cell>
          <cell r="D182">
            <v>5400</v>
          </cell>
          <cell r="E182">
            <v>8640</v>
          </cell>
        </row>
        <row r="183">
          <cell r="A183" t="str">
            <v>TBE2204</v>
          </cell>
          <cell r="B183" t="str">
            <v>EA-13</v>
          </cell>
          <cell r="C183" t="str">
            <v>ENERJİ ANALİZÖRÜ EA013</v>
          </cell>
          <cell r="D183">
            <v>5518</v>
          </cell>
          <cell r="E183">
            <v>8829</v>
          </cell>
        </row>
        <row r="184">
          <cell r="A184" t="str">
            <v>TBE2205</v>
          </cell>
          <cell r="B184" t="str">
            <v>EA-20</v>
          </cell>
          <cell r="C184" t="str">
            <v>RAY TİPİ GELİŞMİŞ HABERLEŞMELİ ENERJİ ANALİZÖRÜ,</v>
          </cell>
          <cell r="D184" t="e">
            <v>#N/A</v>
          </cell>
          <cell r="E184">
            <v>10975</v>
          </cell>
        </row>
        <row r="185">
          <cell r="A185" t="str">
            <v>TBE2206</v>
          </cell>
          <cell r="B185" t="str">
            <v>EA-21</v>
          </cell>
          <cell r="C185" t="str">
            <v>EA-PRO GELİŞMİŞ FONKSİYONLU ENERJİ ANALİZÖRÜ</v>
          </cell>
          <cell r="D185" t="e">
            <v>#N/A</v>
          </cell>
          <cell r="E185">
            <v>11110</v>
          </cell>
        </row>
        <row r="186">
          <cell r="A186" t="str">
            <v>TBE2207</v>
          </cell>
          <cell r="B186" t="str">
            <v>EA-22</v>
          </cell>
          <cell r="C186" t="str">
            <v>GELİŞMİŞ BAZ MODEL HABERLEŞMELİ ENERJİ ANALİZÖRÜ</v>
          </cell>
          <cell r="D186" t="e">
            <v>#N/A</v>
          </cell>
          <cell r="E186">
            <v>6400</v>
          </cell>
        </row>
        <row r="188">
          <cell r="A188" t="str">
            <v>TBE2402</v>
          </cell>
          <cell r="B188" t="str">
            <v>TIBCON FAST 30 MCU</v>
          </cell>
          <cell r="C188" t="str">
            <v>Mikro İşlemcili TristörKond.Anaht.M. Fast 30 kVAr</v>
          </cell>
          <cell r="D188" t="e">
            <v>#N/A</v>
          </cell>
          <cell r="E188">
            <v>27070</v>
          </cell>
        </row>
        <row r="189">
          <cell r="A189" t="str">
            <v>TBE2403</v>
          </cell>
          <cell r="B189" t="str">
            <v>TIBCON FAST 50 MCU</v>
          </cell>
          <cell r="C189" t="str">
            <v>Mikro İşlemcili TristörKond.Anaht.M. Fast 50 kVAr</v>
          </cell>
          <cell r="D189">
            <v>21723</v>
          </cell>
          <cell r="E189">
            <v>31498</v>
          </cell>
        </row>
        <row r="191">
          <cell r="A191" t="str">
            <v>TBE2509</v>
          </cell>
          <cell r="B191" t="str">
            <v>TIBCON FAST 3*15M</v>
          </cell>
          <cell r="C191" t="str">
            <v>FAST 15M 3X15 TRİSTÖRLÜ ANAHTARLAMA MODÜLÜ</v>
          </cell>
          <cell r="D191">
            <v>23143</v>
          </cell>
          <cell r="E191">
            <v>33557</v>
          </cell>
        </row>
        <row r="192">
          <cell r="A192" t="str">
            <v>TBE2507</v>
          </cell>
          <cell r="B192" t="str">
            <v>TIBCON FAST 5 M</v>
          </cell>
          <cell r="C192" t="str">
            <v>FAST 5M 3X1,5 TRİSTÖRLÜ ANAHTARLAMA MODÜLÜ</v>
          </cell>
          <cell r="D192">
            <v>8609</v>
          </cell>
          <cell r="E192">
            <v>12483</v>
          </cell>
        </row>
        <row r="193">
          <cell r="A193" t="str">
            <v>TBE2500</v>
          </cell>
          <cell r="B193" t="str">
            <v>TIBCON FAST 5 T</v>
          </cell>
          <cell r="C193" t="str">
            <v>FAST 5-TRİSTÖRLÜ ANAHTARLAMA MODÜLÜ</v>
          </cell>
          <cell r="D193">
            <v>6966</v>
          </cell>
          <cell r="E193">
            <v>10101</v>
          </cell>
        </row>
        <row r="194">
          <cell r="A194" t="str">
            <v>TBE2502</v>
          </cell>
          <cell r="B194" t="str">
            <v>TBE-FAST 15</v>
          </cell>
          <cell r="C194" t="str">
            <v>FAST 15-TRİSTÖRLÜ ANAHTARLAMA MODÜLÜ</v>
          </cell>
          <cell r="D194" t="e">
            <v>#N/A</v>
          </cell>
          <cell r="E194">
            <v>20009</v>
          </cell>
        </row>
        <row r="195">
          <cell r="A195" t="str">
            <v>TBE2503</v>
          </cell>
          <cell r="B195" t="str">
            <v>TBE-FAST 25</v>
          </cell>
          <cell r="C195" t="str">
            <v>FAST 25 TRİSTÖRLÜ ANAHTARLAMA MODÜLÜ</v>
          </cell>
          <cell r="D195" t="e">
            <v>#N/A</v>
          </cell>
          <cell r="E195">
            <v>20790</v>
          </cell>
        </row>
        <row r="196">
          <cell r="A196" t="str">
            <v>TBE2504</v>
          </cell>
          <cell r="B196" t="str">
            <v>TBE-FAST 50</v>
          </cell>
          <cell r="C196" t="str">
            <v>FAST 50 TRİSTÖRLÜ ANAHTARLAMA MODÜLÜ</v>
          </cell>
          <cell r="D196" t="e">
            <v>#N/A</v>
          </cell>
          <cell r="E196">
            <v>24042</v>
          </cell>
        </row>
        <row r="197">
          <cell r="A197" t="str">
            <v>TBE2510</v>
          </cell>
          <cell r="B197" t="str">
            <v>TIBCON FAST 51M</v>
          </cell>
          <cell r="C197" t="str">
            <v>FAST 51M 1X5 TRİSTÖRLÜ ANAHTARLAMA MODÜLÜ</v>
          </cell>
          <cell r="D197">
            <v>5925</v>
          </cell>
          <cell r="E197">
            <v>8591</v>
          </cell>
        </row>
        <row r="198">
          <cell r="A198" t="str">
            <v>TBE2505</v>
          </cell>
          <cell r="B198" t="str">
            <v>TIBCON FAST 75</v>
          </cell>
          <cell r="C198" t="str">
            <v>FAST 75 TRİSTÖRLÜ ANAHTARLAMA MODÜLÜ</v>
          </cell>
          <cell r="D198">
            <v>24871</v>
          </cell>
          <cell r="E198">
            <v>36063</v>
          </cell>
        </row>
        <row r="199">
          <cell r="A199" t="str">
            <v>TBE2506</v>
          </cell>
          <cell r="B199" t="str">
            <v>TIBCON FAST 100</v>
          </cell>
          <cell r="C199" t="str">
            <v>FAST 100TRİSTÖRLÜ ANAHTARLAMA MODÜLÜ</v>
          </cell>
          <cell r="D199">
            <v>27103</v>
          </cell>
          <cell r="E199">
            <v>39299</v>
          </cell>
        </row>
        <row r="201">
          <cell r="A201" t="str">
            <v>TBE2600</v>
          </cell>
          <cell r="B201" t="str">
            <v>TIBCON-MM 01</v>
          </cell>
          <cell r="C201" t="str">
            <v>MULTİMETRE</v>
          </cell>
          <cell r="D201">
            <v>3501</v>
          </cell>
          <cell r="E201">
            <v>5076</v>
          </cell>
        </row>
        <row r="202">
          <cell r="A202" t="str">
            <v>TBE2601</v>
          </cell>
          <cell r="B202" t="str">
            <v>TIBCON-MM 02</v>
          </cell>
          <cell r="C202" t="str">
            <v>GELİŞMİŞ MULTİMETRE</v>
          </cell>
          <cell r="D202">
            <v>4937</v>
          </cell>
          <cell r="E202">
            <v>7159</v>
          </cell>
        </row>
        <row r="204">
          <cell r="A204" t="str">
            <v>TBE2700</v>
          </cell>
          <cell r="B204" t="str">
            <v>TET-12+3 SVC</v>
          </cell>
          <cell r="C204" t="str">
            <v>REAKTİF GÜÇ KONTROL RÖLESİ-TET-12SVC</v>
          </cell>
          <cell r="D204">
            <v>10186</v>
          </cell>
          <cell r="E204">
            <v>14770</v>
          </cell>
        </row>
        <row r="205">
          <cell r="A205" t="str">
            <v>TBE2701</v>
          </cell>
          <cell r="B205" t="str">
            <v>TET-15 K</v>
          </cell>
          <cell r="C205" t="str">
            <v>REAKTİF GÜÇ KONTROL RÖLESİ-TET-15-K</v>
          </cell>
          <cell r="D205">
            <v>8997</v>
          </cell>
          <cell r="E205">
            <v>13945</v>
          </cell>
        </row>
        <row r="206">
          <cell r="A206" t="str">
            <v>TBE2702</v>
          </cell>
          <cell r="B206" t="str">
            <v>TET-15+3 SVC</v>
          </cell>
          <cell r="C206" t="str">
            <v>REAKTİF GÜÇ KONTROL RÖLESİ-TET-15-SVC</v>
          </cell>
          <cell r="D206">
            <v>10531</v>
          </cell>
          <cell r="E206">
            <v>15270</v>
          </cell>
        </row>
        <row r="207">
          <cell r="A207" t="str">
            <v>TBE2703</v>
          </cell>
          <cell r="B207" t="str">
            <v>TET -15A SVC+OG</v>
          </cell>
          <cell r="C207" t="str">
            <v>REAKTİF GÜÇ KONTROL RÖLESİ-TET-15A/GES/OG/AG</v>
          </cell>
          <cell r="D207">
            <v>16594</v>
          </cell>
          <cell r="E207">
            <v>22402</v>
          </cell>
        </row>
        <row r="208">
          <cell r="A208" t="str">
            <v>TBE2704</v>
          </cell>
          <cell r="B208" t="str">
            <v>TET-18 +3 SVC</v>
          </cell>
          <cell r="C208" t="str">
            <v>REAKTİF GÜÇ KONTROL RÖLESİ-TET-18 SVC</v>
          </cell>
          <cell r="D208">
            <v>10877</v>
          </cell>
          <cell r="E208">
            <v>15772</v>
          </cell>
        </row>
        <row r="209">
          <cell r="A209" t="str">
            <v>TBE2705</v>
          </cell>
          <cell r="B209" t="str">
            <v>TET-18 T SVC</v>
          </cell>
          <cell r="C209" t="str">
            <v>REAKTİF GÜÇ KONTROL RÖLESİ-TET-18-T/SVC</v>
          </cell>
          <cell r="D209">
            <v>10880</v>
          </cell>
          <cell r="E209">
            <v>15776</v>
          </cell>
        </row>
        <row r="210">
          <cell r="A210" t="str">
            <v>TBE2708</v>
          </cell>
          <cell r="B210" t="str">
            <v>TET -18A SVC+OG</v>
          </cell>
          <cell r="C210" t="str">
            <v>REAKTİF GÜÇ KONTROL RÖLESİ-TET-18A/GES/OG/AG</v>
          </cell>
          <cell r="D210">
            <v>15829</v>
          </cell>
          <cell r="E210">
            <v>22952</v>
          </cell>
        </row>
        <row r="212">
          <cell r="A212" t="str">
            <v>TBE2800</v>
          </cell>
          <cell r="B212" t="str">
            <v>OG 50 / 5</v>
          </cell>
          <cell r="C212" t="str">
            <v>TBC-OAT-50/5</v>
          </cell>
          <cell r="D212">
            <v>10674</v>
          </cell>
          <cell r="E212">
            <v>13343</v>
          </cell>
        </row>
        <row r="214">
          <cell r="A214" t="str">
            <v>TBE2900</v>
          </cell>
          <cell r="B214" t="str">
            <v>TAM-01-096</v>
          </cell>
          <cell r="C214" t="str">
            <v>DİJİTAL 96 AMPERMETRE</v>
          </cell>
          <cell r="D214">
            <v>2117</v>
          </cell>
          <cell r="E214">
            <v>3070</v>
          </cell>
        </row>
        <row r="215">
          <cell r="A215" t="str">
            <v>TBE2904</v>
          </cell>
          <cell r="B215" t="str">
            <v>TVM-01-096</v>
          </cell>
          <cell r="C215" t="str">
            <v>DİJİTAL 96 VOLTMETRE</v>
          </cell>
          <cell r="D215">
            <v>2117</v>
          </cell>
          <cell r="E215">
            <v>3070</v>
          </cell>
        </row>
        <row r="217">
          <cell r="A217" t="str">
            <v>TBK4000</v>
          </cell>
          <cell r="B217" t="str">
            <v>TBC1D05K10M7</v>
          </cell>
          <cell r="C217" t="str">
            <v>CONTACTOR 05K</v>
          </cell>
          <cell r="D217">
            <v>1062</v>
          </cell>
          <cell r="E217">
            <v>1725</v>
          </cell>
        </row>
        <row r="218">
          <cell r="A218" t="str">
            <v>TBK4001</v>
          </cell>
          <cell r="B218" t="str">
            <v>TBC1D10K02U7</v>
          </cell>
          <cell r="C218" t="str">
            <v>CONTACTOR 10K</v>
          </cell>
          <cell r="D218">
            <v>1502</v>
          </cell>
          <cell r="E218">
            <v>2439</v>
          </cell>
        </row>
        <row r="219">
          <cell r="A219" t="str">
            <v>TBK4002</v>
          </cell>
          <cell r="B219" t="str">
            <v>TBC1D12K02U7</v>
          </cell>
          <cell r="C219" t="str">
            <v>CONTACTOR 12K</v>
          </cell>
          <cell r="D219">
            <v>1609</v>
          </cell>
          <cell r="E219">
            <v>2613</v>
          </cell>
        </row>
        <row r="220">
          <cell r="A220" t="str">
            <v>TBK4003</v>
          </cell>
          <cell r="B220" t="str">
            <v>TBC1D16K02U7</v>
          </cell>
          <cell r="C220" t="str">
            <v>CONTACTOR 16K</v>
          </cell>
          <cell r="D220">
            <v>1763</v>
          </cell>
          <cell r="E220">
            <v>2863</v>
          </cell>
        </row>
        <row r="221">
          <cell r="A221" t="str">
            <v>TBK4004</v>
          </cell>
          <cell r="B221" t="str">
            <v>TBC1D20K02U7</v>
          </cell>
          <cell r="C221" t="str">
            <v>CONTACTOR 20K</v>
          </cell>
          <cell r="D221">
            <v>2037</v>
          </cell>
          <cell r="E221">
            <v>3308</v>
          </cell>
        </row>
        <row r="222">
          <cell r="A222" t="str">
            <v>TBK4005</v>
          </cell>
          <cell r="B222" t="str">
            <v>TBC1D25K02U7</v>
          </cell>
          <cell r="C222" t="str">
            <v>CONTACTOR 25K</v>
          </cell>
          <cell r="D222">
            <v>2632</v>
          </cell>
          <cell r="E222">
            <v>4274</v>
          </cell>
        </row>
        <row r="223">
          <cell r="A223" t="str">
            <v>TBK4006</v>
          </cell>
          <cell r="B223" t="str">
            <v>TBC1D33K12U7</v>
          </cell>
          <cell r="C223" t="str">
            <v>CONTACTOR 33K</v>
          </cell>
          <cell r="D223">
            <v>4183</v>
          </cell>
          <cell r="E223">
            <v>6793</v>
          </cell>
        </row>
        <row r="224">
          <cell r="A224" t="str">
            <v>TBK4007</v>
          </cell>
          <cell r="B224" t="str">
            <v>TBC1D40K12U7</v>
          </cell>
          <cell r="C224" t="str">
            <v>CONTACTOR 40K</v>
          </cell>
          <cell r="D224">
            <v>4980</v>
          </cell>
          <cell r="E224">
            <v>8088</v>
          </cell>
        </row>
        <row r="225">
          <cell r="A225" t="str">
            <v>TBK4008</v>
          </cell>
          <cell r="B225" t="str">
            <v>TBC1D50K12U7</v>
          </cell>
          <cell r="C225" t="str">
            <v>CONTACTOR 50K</v>
          </cell>
          <cell r="D225">
            <v>5926</v>
          </cell>
          <cell r="E225">
            <v>9624</v>
          </cell>
        </row>
        <row r="226">
          <cell r="A226" t="str">
            <v>TBK4009</v>
          </cell>
          <cell r="B226" t="str">
            <v>TBC1D60K12U7</v>
          </cell>
          <cell r="C226" t="str">
            <v>CONTACTOR 60K</v>
          </cell>
          <cell r="D226">
            <v>6546</v>
          </cell>
          <cell r="E226">
            <v>10631</v>
          </cell>
        </row>
        <row r="227">
          <cell r="A227" t="str">
            <v>TBK4010</v>
          </cell>
          <cell r="B227" t="str">
            <v>TBC1D75K12U7</v>
          </cell>
          <cell r="C227" t="str">
            <v>CONTACTOR 75K</v>
          </cell>
          <cell r="D227">
            <v>9504</v>
          </cell>
          <cell r="E227">
            <v>15435</v>
          </cell>
        </row>
        <row r="228">
          <cell r="A228" t="str">
            <v>TBK4014</v>
          </cell>
          <cell r="B228" t="str">
            <v>TBC1D100K12U7</v>
          </cell>
          <cell r="C228" t="str">
            <v>CONTACTOR 100K</v>
          </cell>
          <cell r="D228" t="e">
            <v>#N/A</v>
          </cell>
          <cell r="E228">
            <v>1058</v>
          </cell>
        </row>
        <row r="230">
          <cell r="A230" t="str">
            <v>TBNH4200</v>
          </cell>
          <cell r="B230" t="str">
            <v>TB-NH00-16</v>
          </cell>
          <cell r="C230" t="str">
            <v>16A NH BIÇAKLI SİGORTA</v>
          </cell>
          <cell r="D230">
            <v>184</v>
          </cell>
          <cell r="E230">
            <v>239</v>
          </cell>
        </row>
        <row r="231">
          <cell r="A231" t="str">
            <v>TBNH4201</v>
          </cell>
          <cell r="B231" t="str">
            <v>TB-NH00-25</v>
          </cell>
          <cell r="C231" t="str">
            <v>25A NH BIÇAKLI SİGORTA</v>
          </cell>
          <cell r="D231">
            <v>184</v>
          </cell>
          <cell r="E231">
            <v>239</v>
          </cell>
        </row>
        <row r="232">
          <cell r="A232" t="str">
            <v>TBNH4202</v>
          </cell>
          <cell r="B232" t="str">
            <v>TB-NH00-32</v>
          </cell>
          <cell r="C232" t="str">
            <v>32A NH BIÇAKLI SİGORTA</v>
          </cell>
          <cell r="D232">
            <v>184</v>
          </cell>
          <cell r="E232">
            <v>239</v>
          </cell>
        </row>
        <row r="233">
          <cell r="A233" t="str">
            <v>TBNH4203</v>
          </cell>
          <cell r="B233" t="str">
            <v>TB-NH00-40</v>
          </cell>
          <cell r="C233" t="str">
            <v>40A NH BIÇAKLI SİGORTA</v>
          </cell>
          <cell r="D233">
            <v>184</v>
          </cell>
          <cell r="E233">
            <v>239</v>
          </cell>
        </row>
        <row r="234">
          <cell r="A234" t="str">
            <v>TBNH4204</v>
          </cell>
          <cell r="B234" t="str">
            <v>TB-NH00-50</v>
          </cell>
          <cell r="C234" t="str">
            <v>50A NH BIÇAKLI SİGORTA</v>
          </cell>
          <cell r="D234">
            <v>184</v>
          </cell>
          <cell r="E234">
            <v>239</v>
          </cell>
        </row>
        <row r="235">
          <cell r="A235" t="str">
            <v>TBNH4205</v>
          </cell>
          <cell r="B235" t="str">
            <v>TB-NH00-63</v>
          </cell>
          <cell r="C235" t="str">
            <v>63A NH BIÇAKLI SİGORTA</v>
          </cell>
          <cell r="D235">
            <v>184</v>
          </cell>
          <cell r="E235">
            <v>239</v>
          </cell>
        </row>
        <row r="236">
          <cell r="A236" t="str">
            <v>TBNH4206</v>
          </cell>
          <cell r="B236" t="str">
            <v>TB-NH00-80</v>
          </cell>
          <cell r="C236" t="str">
            <v>80A NH BIÇAKLI SİGORTA</v>
          </cell>
          <cell r="D236">
            <v>184</v>
          </cell>
          <cell r="E236">
            <v>239</v>
          </cell>
        </row>
        <row r="237">
          <cell r="A237" t="str">
            <v>TBNH4207</v>
          </cell>
          <cell r="B237" t="str">
            <v>TB-NH00-100</v>
          </cell>
          <cell r="C237" t="str">
            <v>100A NH BIÇAKLI SİGORTA</v>
          </cell>
          <cell r="D237">
            <v>184</v>
          </cell>
          <cell r="E237">
            <v>239</v>
          </cell>
        </row>
        <row r="238">
          <cell r="A238" t="str">
            <v>TBNH4208</v>
          </cell>
          <cell r="B238" t="str">
            <v>TB-NH00-125</v>
          </cell>
          <cell r="C238" t="str">
            <v>125A NH BIÇAKLI SİGORTA</v>
          </cell>
          <cell r="D238">
            <v>184</v>
          </cell>
          <cell r="E238">
            <v>239</v>
          </cell>
        </row>
        <row r="239">
          <cell r="A239" t="str">
            <v>TBNH4209</v>
          </cell>
          <cell r="B239" t="str">
            <v>TB-NH00-160</v>
          </cell>
          <cell r="C239" t="str">
            <v>160A NH BIÇAKLI SİGORTA</v>
          </cell>
          <cell r="D239">
            <v>184</v>
          </cell>
          <cell r="E239">
            <v>239</v>
          </cell>
        </row>
        <row r="240">
          <cell r="A240" t="str">
            <v>TBNH4210</v>
          </cell>
          <cell r="B240" t="str">
            <v>TB-NH01-160</v>
          </cell>
          <cell r="C240" t="str">
            <v>160A NH1 BIÇAKLI SİGORTA</v>
          </cell>
          <cell r="D240">
            <v>425</v>
          </cell>
          <cell r="E240">
            <v>616</v>
          </cell>
        </row>
        <row r="241">
          <cell r="A241" t="str">
            <v>TBNH4211</v>
          </cell>
          <cell r="B241" t="str">
            <v>TB-NH01-200</v>
          </cell>
          <cell r="C241" t="str">
            <v>200A NH1 BIÇAKLI SİGORTA</v>
          </cell>
          <cell r="D241">
            <v>425</v>
          </cell>
          <cell r="E241">
            <v>616</v>
          </cell>
        </row>
        <row r="242">
          <cell r="A242" t="str">
            <v>TBNH4212</v>
          </cell>
          <cell r="B242" t="str">
            <v>TB-NH01-250</v>
          </cell>
          <cell r="C242" t="str">
            <v>250A NH1 BIÇAKLI SİGORTA</v>
          </cell>
          <cell r="D242">
            <v>425</v>
          </cell>
          <cell r="E242">
            <v>616</v>
          </cell>
        </row>
        <row r="244">
          <cell r="A244" t="str">
            <v>TBNYA4300</v>
          </cell>
          <cell r="B244" t="str">
            <v>TB00-160</v>
          </cell>
          <cell r="C244" t="str">
            <v>160A YÜK AYRICI</v>
          </cell>
          <cell r="D244">
            <v>1311</v>
          </cell>
          <cell r="E244">
            <v>1901</v>
          </cell>
        </row>
        <row r="245">
          <cell r="A245" t="str">
            <v>TBNYA4301</v>
          </cell>
          <cell r="B245" t="str">
            <v>TB01-250</v>
          </cell>
          <cell r="C245" t="str">
            <v>250A YÜK AYRICI</v>
          </cell>
          <cell r="D245">
            <v>3980</v>
          </cell>
          <cell r="E245">
            <v>5771</v>
          </cell>
        </row>
        <row r="247">
          <cell r="A247" t="str">
            <v>TBHR5000</v>
          </cell>
          <cell r="B247" t="str">
            <v>HRT-71230,5</v>
          </cell>
          <cell r="C247" t="str">
            <v>0,5 KVAR MONOFAZE HARMONİK FİLİTRE  %7</v>
          </cell>
          <cell r="D247">
            <v>42</v>
          </cell>
          <cell r="E247">
            <v>50</v>
          </cell>
        </row>
        <row r="248">
          <cell r="A248" t="str">
            <v>TBHR5001</v>
          </cell>
          <cell r="B248" t="str">
            <v>HRT-71231</v>
          </cell>
          <cell r="C248" t="str">
            <v>1 KVAR MONOFAZE HARMONİK FİLİTRE  %7</v>
          </cell>
          <cell r="D248">
            <v>53</v>
          </cell>
          <cell r="E248">
            <v>64</v>
          </cell>
        </row>
        <row r="249">
          <cell r="A249" t="str">
            <v>TBHR5002</v>
          </cell>
          <cell r="B249" t="str">
            <v>HRT-71231,5</v>
          </cell>
          <cell r="C249" t="str">
            <v>1,5 KVAR MONOFAZE HARMONİK FİLİTRE  %7</v>
          </cell>
          <cell r="D249">
            <v>67</v>
          </cell>
          <cell r="E249">
            <v>80</v>
          </cell>
        </row>
        <row r="250">
          <cell r="A250" t="str">
            <v>TBHR5005</v>
          </cell>
          <cell r="B250" t="str">
            <v>HRT-71232,5</v>
          </cell>
          <cell r="C250" t="str">
            <v>2,5 KVAR MONOFAZE HARMONİK FİLİTRE  %7</v>
          </cell>
          <cell r="D250">
            <v>77</v>
          </cell>
          <cell r="E250">
            <v>92</v>
          </cell>
        </row>
        <row r="251">
          <cell r="A251" t="str">
            <v>TBHR5007</v>
          </cell>
          <cell r="B251" t="str">
            <v>HRT-71235</v>
          </cell>
          <cell r="C251" t="str">
            <v>5 KVAR MONOFAZE HARMONİK FİLİTRE  %7</v>
          </cell>
          <cell r="D251">
            <v>120</v>
          </cell>
          <cell r="E251">
            <v>144</v>
          </cell>
        </row>
        <row r="252">
          <cell r="A252" t="str">
            <v>TBHR5008</v>
          </cell>
          <cell r="B252" t="str">
            <v>HRT-71237,5</v>
          </cell>
          <cell r="C252" t="str">
            <v>7,5 KVAR MONOFAZE HARMONİK FİLİTRE  %7</v>
          </cell>
          <cell r="D252">
            <v>154</v>
          </cell>
          <cell r="E252">
            <v>185</v>
          </cell>
        </row>
        <row r="253">
          <cell r="A253" t="str">
            <v>TBHR5009</v>
          </cell>
          <cell r="B253" t="str">
            <v>HRT-712310</v>
          </cell>
          <cell r="C253" t="str">
            <v>10 KVAR MONOFAZE HARMONİK FİLİTRE  %7</v>
          </cell>
          <cell r="D253">
            <v>189</v>
          </cell>
          <cell r="E253">
            <v>227</v>
          </cell>
        </row>
        <row r="255">
          <cell r="A255" t="str">
            <v>TBHR5200</v>
          </cell>
          <cell r="B255" t="str">
            <v>HRT-73400,5</v>
          </cell>
          <cell r="C255" t="str">
            <v>0,5 KVAR TRİFAZE HARMONİK FİLİTRE %7</v>
          </cell>
          <cell r="D255">
            <v>88</v>
          </cell>
          <cell r="E255">
            <v>106</v>
          </cell>
        </row>
        <row r="256">
          <cell r="A256" t="str">
            <v>TBHR5201</v>
          </cell>
          <cell r="B256" t="str">
            <v>HRT-73401</v>
          </cell>
          <cell r="C256" t="str">
            <v>1 KVAR TRİFAZE HARMONİK FİLİTRE %7</v>
          </cell>
          <cell r="D256">
            <v>96</v>
          </cell>
          <cell r="E256">
            <v>115</v>
          </cell>
        </row>
        <row r="257">
          <cell r="A257" t="str">
            <v>TBHR5202</v>
          </cell>
          <cell r="B257" t="str">
            <v>HRT-73401,5</v>
          </cell>
          <cell r="C257" t="str">
            <v>1,5 KVAR TRİFAZE HARMONİK FİLİTRE %7</v>
          </cell>
          <cell r="D257">
            <v>102</v>
          </cell>
          <cell r="E257">
            <v>122</v>
          </cell>
        </row>
        <row r="258">
          <cell r="A258" t="str">
            <v>TBHR5203</v>
          </cell>
          <cell r="B258" t="str">
            <v>HRT-73402,2</v>
          </cell>
          <cell r="C258" t="str">
            <v>2,2 KVAR TRİFAZE HARMONİK FİLİTRE %8</v>
          </cell>
          <cell r="D258">
            <v>111</v>
          </cell>
          <cell r="E258">
            <v>133</v>
          </cell>
        </row>
        <row r="259">
          <cell r="A259" t="str">
            <v>TBHR5204</v>
          </cell>
          <cell r="B259" t="str">
            <v>HRT-73402,5</v>
          </cell>
          <cell r="C259" t="str">
            <v>2,5 KVAR TRİFAZE HARMONİK FİLİTRE %7</v>
          </cell>
          <cell r="D259">
            <v>111</v>
          </cell>
          <cell r="E259">
            <v>133</v>
          </cell>
        </row>
        <row r="260">
          <cell r="A260" t="str">
            <v>TBHR5205</v>
          </cell>
          <cell r="B260" t="str">
            <v>HRT-73403,1</v>
          </cell>
          <cell r="C260" t="str">
            <v>3,1 KVAR TRİFAZE HARMONİK FİLİTRE %7</v>
          </cell>
          <cell r="D260">
            <v>113</v>
          </cell>
          <cell r="E260">
            <v>136</v>
          </cell>
        </row>
        <row r="261">
          <cell r="A261" t="str">
            <v>TBHR5206</v>
          </cell>
          <cell r="B261" t="str">
            <v>HRT-73404,4</v>
          </cell>
          <cell r="C261" t="str">
            <v>4,44 KVAR TRİFAZE HARMONİK FİLİTRE %7</v>
          </cell>
          <cell r="D261">
            <v>125</v>
          </cell>
          <cell r="E261">
            <v>150</v>
          </cell>
        </row>
        <row r="262">
          <cell r="A262" t="str">
            <v>TBHR5207</v>
          </cell>
          <cell r="B262" t="str">
            <v>HRT-73405</v>
          </cell>
          <cell r="C262" t="str">
            <v>5 KVAR TRİFAZE HARMONİK FİLİTRE %7</v>
          </cell>
          <cell r="D262">
            <v>127</v>
          </cell>
          <cell r="E262">
            <v>152</v>
          </cell>
        </row>
        <row r="263">
          <cell r="A263" t="str">
            <v>TBHR5208</v>
          </cell>
          <cell r="B263" t="str">
            <v>HRT-73406,25</v>
          </cell>
          <cell r="C263" t="str">
            <v>6,25 KVAR TRİFAZE HARMONİK FİLİTRE %7</v>
          </cell>
          <cell r="D263">
            <v>136</v>
          </cell>
          <cell r="E263">
            <v>163</v>
          </cell>
        </row>
        <row r="264">
          <cell r="A264" t="str">
            <v>TBHR5209</v>
          </cell>
          <cell r="B264" t="str">
            <v>HRT-73406,66</v>
          </cell>
          <cell r="C264" t="str">
            <v>6,66 KVAR TRİFAZE HARMONİK FİLİTRE %7</v>
          </cell>
          <cell r="D264">
            <v>177</v>
          </cell>
          <cell r="E264">
            <v>212</v>
          </cell>
        </row>
        <row r="265">
          <cell r="A265" t="str">
            <v>TBHR5210</v>
          </cell>
          <cell r="B265" t="str">
            <v xml:space="preserve">HRT-73407,5 </v>
          </cell>
          <cell r="C265" t="str">
            <v>7,5 KVAR TRİFAZE HARMONİK FİLİTRE %7</v>
          </cell>
          <cell r="D265">
            <v>177</v>
          </cell>
          <cell r="E265">
            <v>212</v>
          </cell>
        </row>
        <row r="266">
          <cell r="A266" t="str">
            <v>TBHR5211</v>
          </cell>
          <cell r="B266" t="str">
            <v>HRT-73408,8</v>
          </cell>
          <cell r="C266" t="str">
            <v>8,8 KVAR TRİFAZE HARMONİK FİLİTRE %7</v>
          </cell>
          <cell r="D266">
            <v>193</v>
          </cell>
          <cell r="E266">
            <v>232</v>
          </cell>
        </row>
        <row r="267">
          <cell r="A267" t="str">
            <v>TBHR5212</v>
          </cell>
          <cell r="B267" t="str">
            <v xml:space="preserve">HRT-734010 </v>
          </cell>
          <cell r="C267" t="str">
            <v>10 KVAR TRİFAZE HARMONİK FİLİTRE %7</v>
          </cell>
          <cell r="D267">
            <v>193</v>
          </cell>
          <cell r="E267">
            <v>232</v>
          </cell>
        </row>
        <row r="268">
          <cell r="A268" t="str">
            <v>TBHR5213</v>
          </cell>
          <cell r="B268" t="str">
            <v>HRT-734011,1</v>
          </cell>
          <cell r="C268" t="str">
            <v>11,10 KVAR TRİFAZE HARMONİK FİLİTRE %7</v>
          </cell>
          <cell r="D268">
            <v>210</v>
          </cell>
          <cell r="E268">
            <v>252</v>
          </cell>
        </row>
        <row r="269">
          <cell r="A269" t="str">
            <v>TBHR5214</v>
          </cell>
          <cell r="B269" t="str">
            <v>HRT-734012</v>
          </cell>
          <cell r="C269" t="str">
            <v>12,5 KVAR TRİFAZE HARMONİK FİLTRE %7</v>
          </cell>
          <cell r="D269">
            <v>210</v>
          </cell>
          <cell r="E269">
            <v>252</v>
          </cell>
        </row>
        <row r="270">
          <cell r="A270" t="str">
            <v>TBHR5215</v>
          </cell>
          <cell r="B270" t="str">
            <v>HRT-734013,3</v>
          </cell>
          <cell r="C270" t="str">
            <v>13,3 KVAR TRİFAZE HARMONİK FİLTRE %7</v>
          </cell>
          <cell r="D270">
            <v>226</v>
          </cell>
          <cell r="E270">
            <v>271</v>
          </cell>
        </row>
        <row r="271">
          <cell r="A271" t="str">
            <v>TBHR5216</v>
          </cell>
          <cell r="B271" t="str">
            <v>HRT-734015</v>
          </cell>
          <cell r="C271" t="str">
            <v>15 KVAR TRİFAZE HARMONİK FİLİTRE %7</v>
          </cell>
          <cell r="D271">
            <v>226</v>
          </cell>
          <cell r="E271">
            <v>271</v>
          </cell>
        </row>
        <row r="272">
          <cell r="A272" t="str">
            <v>TBHR5217</v>
          </cell>
          <cell r="B272" t="str">
            <v>HRT-734017,7</v>
          </cell>
          <cell r="C272" t="str">
            <v>17,7 KVAR TRİFAZE HARMONİK FİLİTRE %7</v>
          </cell>
          <cell r="D272">
            <v>262</v>
          </cell>
          <cell r="E272">
            <v>314</v>
          </cell>
        </row>
        <row r="273">
          <cell r="A273" t="str">
            <v>TBHR5218</v>
          </cell>
          <cell r="B273" t="str">
            <v>HRT-734020</v>
          </cell>
          <cell r="C273" t="str">
            <v>20 KVAR TRİFAZE HARMONİK FİLİTRE %7</v>
          </cell>
          <cell r="D273">
            <v>262</v>
          </cell>
          <cell r="E273">
            <v>314</v>
          </cell>
        </row>
        <row r="274">
          <cell r="A274" t="str">
            <v>TBHR5219</v>
          </cell>
          <cell r="B274" t="str">
            <v>HRT-734022,2</v>
          </cell>
          <cell r="C274" t="str">
            <v>22,2 KVAR TRİFAZE HARMONİK FİLİTRE %7</v>
          </cell>
          <cell r="D274">
            <v>273</v>
          </cell>
          <cell r="E274">
            <v>328</v>
          </cell>
        </row>
        <row r="275">
          <cell r="A275" t="str">
            <v>TBHR5220</v>
          </cell>
          <cell r="B275" t="str">
            <v>HRT-734025</v>
          </cell>
          <cell r="C275" t="str">
            <v>25 KVAR TRİFAZE HARMONİK FİLTRE %7</v>
          </cell>
          <cell r="D275">
            <v>273</v>
          </cell>
          <cell r="E275">
            <v>328</v>
          </cell>
        </row>
        <row r="276">
          <cell r="A276" t="str">
            <v>TBHR5221</v>
          </cell>
          <cell r="B276" t="str">
            <v>HRT-734026,6</v>
          </cell>
          <cell r="C276" t="str">
            <v>26,65 KVAR TRİFAZE HARMONİK FİLTRE %7</v>
          </cell>
          <cell r="D276">
            <v>280</v>
          </cell>
          <cell r="E276">
            <v>336</v>
          </cell>
        </row>
        <row r="277">
          <cell r="A277" t="str">
            <v>TBHR5222</v>
          </cell>
          <cell r="B277" t="str">
            <v>HRT-734027,3</v>
          </cell>
          <cell r="C277" t="str">
            <v>27,3 KVAR TRİFAZE HARMONİK FİLTRE %7</v>
          </cell>
          <cell r="D277">
            <v>309</v>
          </cell>
          <cell r="E277">
            <v>371</v>
          </cell>
        </row>
        <row r="278">
          <cell r="A278" t="str">
            <v>TBHR5223</v>
          </cell>
          <cell r="B278" t="str">
            <v>HRT-734030</v>
          </cell>
          <cell r="C278" t="str">
            <v>30 KVAR TRİFAZE HARMONİK FİLİTRE %7</v>
          </cell>
          <cell r="D278">
            <v>319</v>
          </cell>
          <cell r="E278">
            <v>383</v>
          </cell>
        </row>
        <row r="279">
          <cell r="A279" t="str">
            <v>TBHR5224</v>
          </cell>
          <cell r="B279" t="str">
            <v>HRT-734035,5</v>
          </cell>
          <cell r="C279" t="str">
            <v>35,5 KVAR TRİFAZE HARMONİK FİLTRE%7</v>
          </cell>
          <cell r="D279">
            <v>343</v>
          </cell>
          <cell r="E279">
            <v>412</v>
          </cell>
        </row>
        <row r="280">
          <cell r="A280" t="str">
            <v>TBHR5225</v>
          </cell>
          <cell r="B280" t="str">
            <v>HRT-734040</v>
          </cell>
          <cell r="C280" t="str">
            <v>40 KVAR TRİFAZE HARMONİK FİLİTRE %7</v>
          </cell>
          <cell r="D280">
            <v>346</v>
          </cell>
          <cell r="E280">
            <v>415</v>
          </cell>
        </row>
        <row r="281">
          <cell r="A281" t="str">
            <v>TBHR5226</v>
          </cell>
          <cell r="B281" t="str">
            <v>HRT-734044</v>
          </cell>
          <cell r="C281" t="str">
            <v>44,4 KVAR TRİFAZE HARMONİK FİLİTRE %7</v>
          </cell>
          <cell r="D281">
            <v>354</v>
          </cell>
          <cell r="E281">
            <v>425</v>
          </cell>
        </row>
        <row r="282">
          <cell r="A282" t="str">
            <v>TBHR5227</v>
          </cell>
          <cell r="B282" t="str">
            <v>HRT-734050</v>
          </cell>
          <cell r="C282" t="str">
            <v>50 KVAR TRİFAZE HARMONİK FİLİTRE %7</v>
          </cell>
          <cell r="D282">
            <v>361</v>
          </cell>
          <cell r="E282">
            <v>433</v>
          </cell>
        </row>
        <row r="283">
          <cell r="A283" t="str">
            <v>TBHR5228</v>
          </cell>
          <cell r="B283" t="str">
            <v>HRT-734053</v>
          </cell>
          <cell r="C283" t="str">
            <v>53,3 KVAR TRİFAZE HARMONİK FİLİTRE %7</v>
          </cell>
          <cell r="D283">
            <v>371</v>
          </cell>
          <cell r="E283">
            <v>445</v>
          </cell>
        </row>
        <row r="284">
          <cell r="A284" t="str">
            <v>TBHR5229</v>
          </cell>
          <cell r="B284" t="str">
            <v>HRT-734060</v>
          </cell>
          <cell r="C284" t="str">
            <v>60 KVAR TRİFAZE HARMONİK FİLİTRE %7</v>
          </cell>
          <cell r="D284">
            <v>456</v>
          </cell>
          <cell r="E284">
            <v>547</v>
          </cell>
        </row>
        <row r="285">
          <cell r="A285" t="str">
            <v>TBHR5230</v>
          </cell>
          <cell r="B285" t="str">
            <v>HRT-734066,6</v>
          </cell>
          <cell r="C285" t="str">
            <v>66,6 KVAR TRİFAZE HARMONİK FİLİTRE %7</v>
          </cell>
          <cell r="D285">
            <v>501</v>
          </cell>
          <cell r="E285">
            <v>601</v>
          </cell>
        </row>
        <row r="286">
          <cell r="A286" t="str">
            <v>TBHR5231</v>
          </cell>
          <cell r="B286" t="str">
            <v>HRT-734075</v>
          </cell>
          <cell r="C286" t="str">
            <v>75 KVAR TRİFAZE HARMONİK FİLİTRE %7</v>
          </cell>
          <cell r="D286">
            <v>522</v>
          </cell>
          <cell r="E286">
            <v>626</v>
          </cell>
        </row>
        <row r="287">
          <cell r="A287" t="str">
            <v>TBHR5232</v>
          </cell>
          <cell r="B287" t="str">
            <v>HRT-734080</v>
          </cell>
          <cell r="C287" t="str">
            <v>80 KVAR TRİFAZE HARMONİK FİLİTRE %7</v>
          </cell>
          <cell r="D287">
            <v>554</v>
          </cell>
          <cell r="E287">
            <v>665</v>
          </cell>
        </row>
        <row r="288">
          <cell r="A288" t="str">
            <v>TBHR5233</v>
          </cell>
          <cell r="B288" t="str">
            <v>HRT-734088,8</v>
          </cell>
          <cell r="C288" t="str">
            <v>88,8 KVAR TRİFAZE HARMONİK FİLİTRE %7</v>
          </cell>
          <cell r="D288">
            <v>663</v>
          </cell>
          <cell r="E288">
            <v>796</v>
          </cell>
        </row>
        <row r="289">
          <cell r="A289" t="str">
            <v>TBHR5234</v>
          </cell>
          <cell r="B289" t="str">
            <v>HRT-7340100</v>
          </cell>
          <cell r="C289" t="str">
            <v>100 KVAR TRİFAZE HARMONİK FİLİTRE %7</v>
          </cell>
          <cell r="D289">
            <v>703</v>
          </cell>
          <cell r="E289">
            <v>844</v>
          </cell>
        </row>
        <row r="291">
          <cell r="A291" t="str">
            <v>TBSR5419</v>
          </cell>
          <cell r="B291" t="str">
            <v>ŞM-231,5-SVC</v>
          </cell>
          <cell r="C291" t="str">
            <v>1,5 KVAR MONOFAZE ŞÖNT REAKTÖR</v>
          </cell>
          <cell r="D291" t="e">
            <v>#N/A</v>
          </cell>
          <cell r="E291">
            <v>106</v>
          </cell>
        </row>
        <row r="292">
          <cell r="A292" t="str">
            <v>TBSR5420</v>
          </cell>
          <cell r="B292" t="str">
            <v>ŞM-233-SVC</v>
          </cell>
          <cell r="C292" t="str">
            <v>3 KVAR MONOFAZE ŞÖNT REAKTÖR</v>
          </cell>
          <cell r="D292" t="e">
            <v>#N/A</v>
          </cell>
          <cell r="E292">
            <v>195</v>
          </cell>
        </row>
        <row r="294">
          <cell r="A294" t="str">
            <v>TBSR5401</v>
          </cell>
          <cell r="B294" t="str">
            <v>ŞM-230,5</v>
          </cell>
          <cell r="C294" t="str">
            <v>0,50 KVAR MONOFAZE ŞÖNT REAKTÖR</v>
          </cell>
          <cell r="D294">
            <v>88</v>
          </cell>
          <cell r="E294">
            <v>106</v>
          </cell>
        </row>
        <row r="295">
          <cell r="A295" t="str">
            <v>TBSR5402</v>
          </cell>
          <cell r="B295" t="str">
            <v>TBR-ŞM-1</v>
          </cell>
          <cell r="C295" t="str">
            <v>1 KVAR MONOFAZE ŞÖNT REAKTÖRÜ</v>
          </cell>
          <cell r="D295" t="e">
            <v>#N/A</v>
          </cell>
          <cell r="E295">
            <v>115</v>
          </cell>
        </row>
        <row r="296">
          <cell r="A296" t="str">
            <v>TBSR5403</v>
          </cell>
          <cell r="B296" t="str">
            <v>TBR-ŞM-1,50</v>
          </cell>
          <cell r="C296" t="str">
            <v>1,5 KVAR MONOFAZE ŞÖNT REAKTÖRÜ</v>
          </cell>
          <cell r="D296" t="e">
            <v>#N/A</v>
          </cell>
          <cell r="E296">
            <v>119</v>
          </cell>
        </row>
        <row r="297">
          <cell r="A297" t="str">
            <v>TBSR5404</v>
          </cell>
          <cell r="B297" t="str">
            <v>ŞM-231,66</v>
          </cell>
          <cell r="C297" t="str">
            <v>1,66 KVAR MONOFAZE ŞÖNT REAKTÖRÜ</v>
          </cell>
          <cell r="D297">
            <v>113</v>
          </cell>
          <cell r="E297">
            <v>126</v>
          </cell>
        </row>
        <row r="298">
          <cell r="A298" t="str">
            <v>TBSR5406</v>
          </cell>
          <cell r="B298" t="str">
            <v>ŞM-232,5</v>
          </cell>
          <cell r="C298" t="str">
            <v>2,5 KVAR MONOFAZE ŞÖNT REAKTÖRÜ</v>
          </cell>
          <cell r="D298">
            <v>199</v>
          </cell>
          <cell r="E298">
            <v>215</v>
          </cell>
        </row>
        <row r="299">
          <cell r="A299" t="str">
            <v>TBSR5407</v>
          </cell>
          <cell r="B299" t="str">
            <v>TBR-ŞM-3</v>
          </cell>
          <cell r="C299" t="str">
            <v>3 KVAR MONOFAZE ŞÖNT REAKTÖRÜ</v>
          </cell>
          <cell r="D299" t="e">
            <v>#N/A</v>
          </cell>
          <cell r="E299">
            <v>225</v>
          </cell>
        </row>
        <row r="300">
          <cell r="A300" t="str">
            <v>TBSR5417</v>
          </cell>
          <cell r="B300" t="str">
            <v>ŞM-233,3</v>
          </cell>
          <cell r="C300" t="str">
            <v>3,33 KVAR MONOFAZE ŞÖNT REAKTÖRÜ</v>
          </cell>
          <cell r="D300">
            <v>223</v>
          </cell>
          <cell r="E300">
            <v>225</v>
          </cell>
        </row>
        <row r="301">
          <cell r="A301" t="str">
            <v>TBSR5409</v>
          </cell>
          <cell r="B301" t="str">
            <v>TBR-ŞM-5</v>
          </cell>
          <cell r="C301" t="str">
            <v>5 KVAR MONOFAZE ŞÖNT REAKTÖRÜ</v>
          </cell>
          <cell r="D301" t="e">
            <v>#N/A</v>
          </cell>
          <cell r="E301">
            <v>320</v>
          </cell>
        </row>
        <row r="302">
          <cell r="A302" t="str">
            <v>TBSR5410</v>
          </cell>
          <cell r="B302" t="str">
            <v>TBR-ŞM-6,67</v>
          </cell>
          <cell r="C302" t="str">
            <v>6,66 KVAR MONOFAZE ŞÖNT REAKTÖRÜ</v>
          </cell>
          <cell r="D302" t="e">
            <v>#N/A</v>
          </cell>
          <cell r="E302">
            <v>400</v>
          </cell>
        </row>
        <row r="303">
          <cell r="A303" t="str">
            <v>TBSR5411</v>
          </cell>
          <cell r="B303" t="str">
            <v>ŞM-237,5</v>
          </cell>
          <cell r="C303" t="str">
            <v>7,5 KVAR MONOFAZE ŞÖNT REAKTÖR</v>
          </cell>
          <cell r="D303">
            <v>429</v>
          </cell>
          <cell r="E303">
            <v>435</v>
          </cell>
        </row>
        <row r="304">
          <cell r="A304" t="str">
            <v>TBSR5412</v>
          </cell>
          <cell r="B304" t="str">
            <v>TBR-ŞM-10</v>
          </cell>
          <cell r="C304" t="str">
            <v>10 KVAR MONOFAZE ŞÖNT REAKTÖRÜ</v>
          </cell>
          <cell r="D304">
            <v>523</v>
          </cell>
          <cell r="E304">
            <v>565</v>
          </cell>
        </row>
        <row r="305">
          <cell r="A305" t="str">
            <v>TBSR5413</v>
          </cell>
          <cell r="B305" t="str">
            <v>ŞM-2315</v>
          </cell>
          <cell r="C305" t="str">
            <v>15 KVAR MONOFAZE ŞÖNT REAKTÖRÜ</v>
          </cell>
          <cell r="D305">
            <v>710</v>
          </cell>
          <cell r="E305">
            <v>890</v>
          </cell>
        </row>
        <row r="306">
          <cell r="A306" t="str">
            <v>TBSR5414</v>
          </cell>
          <cell r="B306" t="str">
            <v>ŞM-2316,67</v>
          </cell>
          <cell r="C306" t="str">
            <v>16,67 KVAR MONOFAZE ŞÖNT REAKTÖRÜ</v>
          </cell>
          <cell r="D306">
            <v>921</v>
          </cell>
          <cell r="E306">
            <v>1025</v>
          </cell>
        </row>
        <row r="307">
          <cell r="A307" t="str">
            <v>TBSR5415</v>
          </cell>
          <cell r="B307" t="str">
            <v>ŞM-2320</v>
          </cell>
          <cell r="C307" t="str">
            <v>20 KVAR MONOFAZE ŞÖNT REAKTÖRÜ</v>
          </cell>
          <cell r="D307">
            <v>1063</v>
          </cell>
          <cell r="E307">
            <v>1140</v>
          </cell>
        </row>
        <row r="309">
          <cell r="A309" t="str">
            <v>TBSR5602</v>
          </cell>
          <cell r="B309" t="str">
            <v>ŞT-400,5</v>
          </cell>
          <cell r="C309" t="str">
            <v>0,5 KVAR TRİFAZE ŞÖNT REAKTÖRÜ</v>
          </cell>
          <cell r="D309">
            <v>152</v>
          </cell>
          <cell r="E309">
            <v>174</v>
          </cell>
        </row>
        <row r="310">
          <cell r="A310" t="str">
            <v>TBSR5603</v>
          </cell>
          <cell r="B310" t="str">
            <v>ŞT-401</v>
          </cell>
          <cell r="C310" t="str">
            <v>1 KVAR TRİFAZE ŞÖNT REAKTÖRÜ</v>
          </cell>
          <cell r="D310">
            <v>168</v>
          </cell>
          <cell r="E310">
            <v>192</v>
          </cell>
        </row>
        <row r="311">
          <cell r="A311" t="str">
            <v>TBSR5604</v>
          </cell>
          <cell r="B311" t="str">
            <v>ŞT-401,5</v>
          </cell>
          <cell r="C311" t="str">
            <v>1,5 KVAR TRİFAZE ŞÖNT REAKTÖRÜ</v>
          </cell>
          <cell r="D311">
            <v>211</v>
          </cell>
          <cell r="E311">
            <v>242</v>
          </cell>
        </row>
        <row r="312">
          <cell r="A312" t="str">
            <v>TBSR5605</v>
          </cell>
          <cell r="B312" t="str">
            <v>ŞT-402</v>
          </cell>
          <cell r="C312" t="str">
            <v>2 KVAR TRİFAZE ŞÖNT REAKTÖRÜ</v>
          </cell>
          <cell r="D312">
            <v>232</v>
          </cell>
          <cell r="E312">
            <v>266</v>
          </cell>
        </row>
        <row r="313">
          <cell r="A313" t="str">
            <v>TBSR5606</v>
          </cell>
          <cell r="B313" t="str">
            <v>ŞT-402,5</v>
          </cell>
          <cell r="C313" t="str">
            <v>2,5 KVAR TRİFAZE ŞÖNT REAKTÖRÜ</v>
          </cell>
          <cell r="D313">
            <v>245</v>
          </cell>
          <cell r="E313">
            <v>281</v>
          </cell>
        </row>
        <row r="314">
          <cell r="A314" t="str">
            <v>TBSR5607</v>
          </cell>
          <cell r="B314" t="str">
            <v>ŞT-403</v>
          </cell>
          <cell r="C314" t="str">
            <v>3 KVAR TRİFAZE ŞÖNT REAKTÖRÜ</v>
          </cell>
          <cell r="D314">
            <v>416</v>
          </cell>
          <cell r="E314">
            <v>477</v>
          </cell>
        </row>
        <row r="315">
          <cell r="A315" t="str">
            <v>TBSR5608</v>
          </cell>
          <cell r="B315" t="str">
            <v>ŞT-405</v>
          </cell>
          <cell r="C315" t="str">
            <v>5 KVAR TRİFAZE  ŞÖNT REAKTÖRÜ</v>
          </cell>
          <cell r="D315">
            <v>467</v>
          </cell>
          <cell r="E315">
            <v>535</v>
          </cell>
        </row>
        <row r="316">
          <cell r="A316" t="str">
            <v>TBSR5609</v>
          </cell>
          <cell r="B316" t="str">
            <v>ŞT-407,5</v>
          </cell>
          <cell r="C316" t="str">
            <v>7,5 KVAR TRİFAZE ŞÖNT REAKTÖRÜ</v>
          </cell>
          <cell r="D316">
            <v>543</v>
          </cell>
          <cell r="E316">
            <v>622</v>
          </cell>
        </row>
        <row r="317">
          <cell r="A317" t="str">
            <v>TBSR5611</v>
          </cell>
          <cell r="B317" t="str">
            <v>TBR-ŞT-10</v>
          </cell>
          <cell r="C317" t="str">
            <v>10 KVAR TRIFAZE ŞÖNT REAKTÖRÜ</v>
          </cell>
          <cell r="D317">
            <v>731</v>
          </cell>
          <cell r="E317">
            <v>837</v>
          </cell>
        </row>
        <row r="318">
          <cell r="A318" t="str">
            <v>TBSR5612</v>
          </cell>
          <cell r="B318" t="str">
            <v>TBR-ŞT-12,5</v>
          </cell>
          <cell r="C318" t="str">
            <v>12,5 KVAR TRİFAZE ŞÖNT REAKTÖRÜ</v>
          </cell>
          <cell r="D318" t="e">
            <v>#N/A</v>
          </cell>
          <cell r="E318">
            <v>1021</v>
          </cell>
        </row>
        <row r="319">
          <cell r="A319" t="str">
            <v>TBSR5613</v>
          </cell>
          <cell r="B319" t="str">
            <v>ŞT-4015</v>
          </cell>
          <cell r="C319" t="str">
            <v>15 KVAR TRİFAZE ŞÖNT REAKTÖRÜ</v>
          </cell>
          <cell r="D319">
            <v>1063</v>
          </cell>
          <cell r="E319">
            <v>1218</v>
          </cell>
        </row>
        <row r="320">
          <cell r="A320" t="str">
            <v>TBSR5614</v>
          </cell>
          <cell r="B320" t="str">
            <v>TBR-ŞT-20</v>
          </cell>
          <cell r="C320" t="str">
            <v>20 KVAR TRİFAZE ŞÖNT REAKTÖRÜ</v>
          </cell>
          <cell r="D320" t="e">
            <v>#N/A</v>
          </cell>
          <cell r="E320">
            <v>1688</v>
          </cell>
        </row>
        <row r="321">
          <cell r="A321" t="str">
            <v>TBSR5615</v>
          </cell>
          <cell r="B321" t="str">
            <v>TBR-ŞT-25</v>
          </cell>
          <cell r="C321" t="str">
            <v>25 KVAR TRİFAZE ŞÖNT REAKTÖRÜ</v>
          </cell>
          <cell r="D321" t="e">
            <v>#N/A</v>
          </cell>
          <cell r="E321">
            <v>1898</v>
          </cell>
        </row>
        <row r="322">
          <cell r="A322" t="str">
            <v>TBSR5617</v>
          </cell>
          <cell r="B322" t="str">
            <v>ŞT-4030</v>
          </cell>
          <cell r="C322" t="str">
            <v>30 KVAR TRİFAZE ŞÖNT REAKTÖRÜ</v>
          </cell>
          <cell r="D322">
            <v>1954</v>
          </cell>
          <cell r="E322">
            <v>2238</v>
          </cell>
        </row>
        <row r="323">
          <cell r="A323" t="str">
            <v>TBSR5620</v>
          </cell>
          <cell r="B323" t="str">
            <v>ŞT-4040</v>
          </cell>
          <cell r="C323" t="str">
            <v>40 KVAR TRİFAZE ŞÖNT REAKTÖRÜ</v>
          </cell>
          <cell r="D323">
            <v>2537</v>
          </cell>
          <cell r="E323">
            <v>2906</v>
          </cell>
        </row>
        <row r="324">
          <cell r="A324" t="str">
            <v>TBSR5621</v>
          </cell>
          <cell r="B324" t="str">
            <v>ŞT-4050</v>
          </cell>
          <cell r="C324" t="str">
            <v>50 KVAR TRİFAZE  ŞÖNT REAKTÖRÜ</v>
          </cell>
          <cell r="D324">
            <v>2926</v>
          </cell>
          <cell r="E324">
            <v>3352</v>
          </cell>
        </row>
        <row r="326">
          <cell r="A326" t="str">
            <v>TBVR6501</v>
          </cell>
          <cell r="B326" t="str">
            <v>TBC-ASM-400-12,5</v>
          </cell>
          <cell r="C326" t="str">
            <v>400V 12,5 kVAr Vermikülit Dolgulu Kondansatör</v>
          </cell>
          <cell r="D326">
            <v>419</v>
          </cell>
          <cell r="E326">
            <v>395</v>
          </cell>
        </row>
        <row r="327">
          <cell r="A327" t="str">
            <v>TBVR6502</v>
          </cell>
          <cell r="B327" t="str">
            <v>TBC-ASM-400-15</v>
          </cell>
          <cell r="C327" t="str">
            <v>400V 15 kVAr Vermükilit Dolgulu Kondansatör</v>
          </cell>
          <cell r="D327">
            <v>419</v>
          </cell>
          <cell r="E327">
            <v>395</v>
          </cell>
        </row>
        <row r="328">
          <cell r="A328" t="str">
            <v>TBVR6503</v>
          </cell>
          <cell r="B328" t="str">
            <v>TBC-ASM-400-20</v>
          </cell>
          <cell r="C328" t="str">
            <v>400v 20 kVAr Vermikülit Dolgulu Kondansatör</v>
          </cell>
          <cell r="D328">
            <v>457</v>
          </cell>
          <cell r="E328">
            <v>431</v>
          </cell>
        </row>
        <row r="329">
          <cell r="A329" t="str">
            <v>TBVR6504</v>
          </cell>
          <cell r="B329" t="str">
            <v>TBC-ASM-400-25</v>
          </cell>
          <cell r="C329" t="str">
            <v>400V 25 kVAr Vermükilit Dolgulu Kondansatör</v>
          </cell>
          <cell r="D329">
            <v>457</v>
          </cell>
          <cell r="E329">
            <v>445</v>
          </cell>
        </row>
        <row r="331">
          <cell r="A331" t="str">
            <v>TBVR6509</v>
          </cell>
          <cell r="B331" t="str">
            <v>TBC-ASM-440-14,1</v>
          </cell>
          <cell r="C331" t="str">
            <v>440v 14,01 kVAr Vermükilit Dolgulu Kondansatör</v>
          </cell>
          <cell r="D331">
            <v>419</v>
          </cell>
          <cell r="E331">
            <v>395</v>
          </cell>
        </row>
        <row r="332">
          <cell r="A332" t="str">
            <v>TBVR6515</v>
          </cell>
          <cell r="B332" t="str">
            <v>TBC-ASM-440-25</v>
          </cell>
          <cell r="C332" t="str">
            <v>440v 25 kVAr Vermükilit Dolgulu Kondansatör</v>
          </cell>
          <cell r="D332">
            <v>457</v>
          </cell>
          <cell r="E332">
            <v>431</v>
          </cell>
        </row>
        <row r="333">
          <cell r="A333" t="str">
            <v>TBVR6518</v>
          </cell>
          <cell r="B333" t="str">
            <v>TBC-ASM-440-28,2</v>
          </cell>
          <cell r="C333" t="str">
            <v>440v 28,2 kVAr Vermikülit Dolgulu Kondansatör</v>
          </cell>
          <cell r="D333">
            <v>457</v>
          </cell>
          <cell r="E333">
            <v>445</v>
          </cell>
        </row>
        <row r="335">
          <cell r="A335" t="str">
            <v>TBVR6526</v>
          </cell>
          <cell r="B335" t="str">
            <v>TBC-ASM-457-14,1</v>
          </cell>
          <cell r="C335" t="str">
            <v>14,1 KVAR 440V VERMİKÜLİT</v>
          </cell>
          <cell r="D335">
            <v>286</v>
          </cell>
          <cell r="E335">
            <v>395</v>
          </cell>
        </row>
        <row r="336">
          <cell r="A336" t="str">
            <v>TBVR6527</v>
          </cell>
          <cell r="B336" t="str">
            <v>TBC-ASM-457-28,2</v>
          </cell>
          <cell r="C336" t="str">
            <v>28,2 KVAR 440V VERMİKÜLİT</v>
          </cell>
          <cell r="D336">
            <v>314</v>
          </cell>
          <cell r="E336">
            <v>431</v>
          </cell>
        </row>
        <row r="338">
          <cell r="A338" t="str">
            <v>TBVR6534</v>
          </cell>
          <cell r="B338" t="str">
            <v>TBC-ASM-480-16,6</v>
          </cell>
          <cell r="C338" t="str">
            <v>480v 16,6  kVAr Vermükilit Dolgulu Kondansatör</v>
          </cell>
          <cell r="D338">
            <v>419</v>
          </cell>
          <cell r="E338">
            <v>395</v>
          </cell>
        </row>
        <row r="339">
          <cell r="A339" t="str">
            <v>TBVR6535</v>
          </cell>
          <cell r="B339" t="str">
            <v>TBC-ASM-480-20</v>
          </cell>
          <cell r="C339" t="str">
            <v>480v 20 kVAr Vermükilit Dolgulu Kondansatör</v>
          </cell>
          <cell r="D339">
            <v>457</v>
          </cell>
          <cell r="E339">
            <v>431</v>
          </cell>
        </row>
        <row r="340">
          <cell r="A340" t="str">
            <v>TBVR6540</v>
          </cell>
          <cell r="B340" t="str">
            <v>TBC-ASM-480-33,3</v>
          </cell>
          <cell r="C340" t="str">
            <v>33,3 KVAR 480-525V VERMİKÜLİT</v>
          </cell>
          <cell r="D340">
            <v>495</v>
          </cell>
          <cell r="E340">
            <v>462</v>
          </cell>
        </row>
        <row r="342">
          <cell r="A342" t="str">
            <v>TBVR6545</v>
          </cell>
          <cell r="B342" t="str">
            <v>TBC-ASM-525-18,6</v>
          </cell>
          <cell r="C342" t="str">
            <v>525v 18,6 kVAr  Vermükilit Dolgulu Kondansatör</v>
          </cell>
          <cell r="D342">
            <v>381</v>
          </cell>
          <cell r="E342">
            <v>395</v>
          </cell>
        </row>
        <row r="343">
          <cell r="A343" t="str">
            <v>TBVR6550</v>
          </cell>
          <cell r="B343" t="str">
            <v>TBC-ASM-525-37,2</v>
          </cell>
          <cell r="C343" t="str">
            <v>525v 37,2 kVAr Vermükilit Dolgulu Kondansatör</v>
          </cell>
          <cell r="D343">
            <v>495</v>
          </cell>
          <cell r="E343">
            <v>431</v>
          </cell>
        </row>
        <row r="344">
          <cell r="A344" t="str">
            <v>TBVR6554</v>
          </cell>
          <cell r="B344" t="str">
            <v>TBC-ASM-525-40</v>
          </cell>
          <cell r="C344" t="str">
            <v>40 KVAR 525V Vermükilit Dolgulu Kondansatör</v>
          </cell>
          <cell r="D344">
            <v>334</v>
          </cell>
          <cell r="E344">
            <v>462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.kevuk@tibcon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82818-2590-4323-B8EC-AFB19BCD3722}">
  <sheetPr>
    <pageSetUpPr fitToPage="1"/>
  </sheetPr>
  <dimension ref="A1:M66"/>
  <sheetViews>
    <sheetView tabSelected="1" view="pageBreakPreview" topLeftCell="A2" zoomScale="55" zoomScaleNormal="70" zoomScaleSheetLayoutView="55" workbookViewId="0">
      <selection activeCell="M22" sqref="M22"/>
    </sheetView>
  </sheetViews>
  <sheetFormatPr defaultColWidth="9.140625" defaultRowHeight="22.5" customHeight="1" x14ac:dyDescent="0.25"/>
  <cols>
    <col min="1" max="2" width="18.42578125" style="89" customWidth="1"/>
    <col min="3" max="3" width="40.28515625" style="3" customWidth="1"/>
    <col min="4" max="4" width="60.5703125" style="3" customWidth="1"/>
    <col min="5" max="5" width="13.5703125" style="90" bestFit="1" customWidth="1"/>
    <col min="6" max="6" width="19.140625" style="91" customWidth="1"/>
    <col min="7" max="7" width="13.5703125" style="92" customWidth="1"/>
    <col min="8" max="8" width="18" style="93" bestFit="1" customWidth="1"/>
    <col min="9" max="9" width="20.7109375" style="3" customWidth="1"/>
    <col min="10" max="10" width="20.28515625" style="3" customWidth="1"/>
    <col min="11" max="12" width="9.140625" style="3"/>
    <col min="13" max="13" width="15" style="3" bestFit="1" customWidth="1"/>
    <col min="14" max="16384" width="9.140625" style="3"/>
  </cols>
  <sheetData>
    <row r="1" spans="1:10" ht="22.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2"/>
    </row>
    <row r="3" spans="1:10" ht="31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2"/>
    </row>
    <row r="4" spans="1:10" ht="21" customHeight="1" x14ac:dyDescent="0.25">
      <c r="A4" s="1"/>
      <c r="B4" s="1"/>
      <c r="C4" s="1"/>
      <c r="D4" s="1"/>
      <c r="E4" s="1"/>
      <c r="F4" s="1"/>
      <c r="G4" s="1"/>
      <c r="H4" s="1"/>
      <c r="I4" s="1"/>
      <c r="J4" s="2"/>
    </row>
    <row r="5" spans="1:10" ht="38.25" customHeight="1" x14ac:dyDescent="0.25">
      <c r="A5" s="1"/>
      <c r="B5" s="1"/>
      <c r="C5" s="1"/>
      <c r="D5" s="1"/>
      <c r="E5" s="1"/>
      <c r="F5" s="1"/>
      <c r="G5" s="1"/>
      <c r="H5" s="1"/>
      <c r="I5" s="1"/>
      <c r="J5" s="4">
        <v>2025</v>
      </c>
    </row>
    <row r="6" spans="1:10" ht="19.899999999999999" customHeight="1" x14ac:dyDescent="0.2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ht="19.899999999999999" customHeight="1" x14ac:dyDescent="0.25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</row>
    <row r="8" spans="1:10" ht="19.899999999999999" customHeight="1" x14ac:dyDescent="0.25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</row>
    <row r="9" spans="1:10" ht="16.149999999999999" customHeight="1" x14ac:dyDescent="0.25">
      <c r="A9" s="6" t="s">
        <v>4</v>
      </c>
      <c r="B9" s="6"/>
      <c r="C9" s="6"/>
      <c r="D9" s="6"/>
      <c r="E9" s="6"/>
      <c r="F9" s="6"/>
      <c r="G9" s="6"/>
      <c r="H9" s="6"/>
      <c r="I9" s="6"/>
      <c r="J9" s="6"/>
    </row>
    <row r="10" spans="1:10" ht="33" customHeight="1" x14ac:dyDescent="0.25">
      <c r="A10" s="7" t="s">
        <v>5</v>
      </c>
      <c r="B10" s="7"/>
      <c r="C10" s="7"/>
      <c r="D10" s="7"/>
      <c r="E10" s="8"/>
      <c r="F10" s="8"/>
      <c r="G10" s="8"/>
      <c r="H10" s="9" t="s">
        <v>6</v>
      </c>
      <c r="I10" s="10" t="s">
        <v>7</v>
      </c>
      <c r="J10" s="11"/>
    </row>
    <row r="11" spans="1:10" ht="21.75" customHeight="1" x14ac:dyDescent="0.25">
      <c r="A11" s="7" t="s">
        <v>8</v>
      </c>
      <c r="B11" s="7"/>
      <c r="C11" s="7"/>
      <c r="D11" s="7"/>
      <c r="E11" s="8"/>
      <c r="F11" s="8"/>
      <c r="G11" s="8"/>
      <c r="H11" s="9" t="s">
        <v>9</v>
      </c>
      <c r="I11" s="12">
        <v>5495060611</v>
      </c>
      <c r="J11" s="11"/>
    </row>
    <row r="12" spans="1:10" ht="21.75" customHeight="1" x14ac:dyDescent="0.25">
      <c r="A12" s="7" t="s">
        <v>10</v>
      </c>
      <c r="B12" s="7"/>
      <c r="C12" s="7"/>
      <c r="D12" s="7"/>
      <c r="E12" s="8"/>
      <c r="F12" s="8"/>
      <c r="G12" s="8"/>
      <c r="H12" s="13" t="s">
        <v>11</v>
      </c>
      <c r="I12" s="14" t="s">
        <v>12</v>
      </c>
      <c r="J12" s="11"/>
    </row>
    <row r="13" spans="1:10" ht="21.75" customHeight="1" x14ac:dyDescent="0.25">
      <c r="A13" s="7" t="s">
        <v>13</v>
      </c>
      <c r="B13" s="7"/>
      <c r="C13" s="7"/>
      <c r="D13" s="7"/>
      <c r="E13" s="9"/>
      <c r="F13" s="15"/>
      <c r="G13" s="16"/>
      <c r="H13" s="17"/>
      <c r="I13" s="18"/>
      <c r="J13" s="18"/>
    </row>
    <row r="14" spans="1:10" s="22" customFormat="1" ht="27" customHeight="1" x14ac:dyDescent="0.2">
      <c r="A14" s="19" t="s">
        <v>14</v>
      </c>
      <c r="B14" s="20"/>
      <c r="C14" s="20"/>
      <c r="D14" s="20"/>
      <c r="E14" s="20"/>
      <c r="F14" s="20"/>
      <c r="G14" s="20"/>
      <c r="H14" s="20"/>
      <c r="I14" s="20"/>
      <c r="J14" s="21"/>
    </row>
    <row r="15" spans="1:10" s="22" customFormat="1" ht="13.5" customHeight="1" x14ac:dyDescent="0.2">
      <c r="A15" s="23"/>
      <c r="B15" s="24"/>
      <c r="C15" s="24"/>
      <c r="D15" s="24"/>
      <c r="E15" s="24"/>
      <c r="F15" s="24"/>
      <c r="G15" s="24"/>
      <c r="H15" s="24"/>
      <c r="I15" s="24"/>
      <c r="J15" s="25"/>
    </row>
    <row r="16" spans="1:10" s="22" customFormat="1" ht="28.5" customHeight="1" x14ac:dyDescent="0.2">
      <c r="A16" s="26" t="s">
        <v>15</v>
      </c>
      <c r="B16" s="26" t="s">
        <v>16</v>
      </c>
      <c r="C16" s="26" t="s">
        <v>17</v>
      </c>
      <c r="D16" s="27" t="s">
        <v>18</v>
      </c>
      <c r="E16" s="27" t="s">
        <v>19</v>
      </c>
      <c r="F16" s="28" t="s">
        <v>20</v>
      </c>
      <c r="G16" s="29" t="s">
        <v>21</v>
      </c>
      <c r="H16" s="30" t="s">
        <v>22</v>
      </c>
      <c r="I16" s="30" t="s">
        <v>23</v>
      </c>
      <c r="J16" s="31" t="s">
        <v>24</v>
      </c>
    </row>
    <row r="17" spans="1:13" s="39" customFormat="1" ht="28.5" customHeight="1" x14ac:dyDescent="0.3">
      <c r="A17" s="32" t="s">
        <v>25</v>
      </c>
      <c r="B17" s="33" t="s">
        <v>26</v>
      </c>
      <c r="C17" s="33" t="s">
        <v>99</v>
      </c>
      <c r="D17" s="34" t="s">
        <v>100</v>
      </c>
      <c r="E17" s="35">
        <v>2</v>
      </c>
      <c r="F17" s="36">
        <v>1005</v>
      </c>
      <c r="G17" s="37">
        <v>0.63</v>
      </c>
      <c r="H17" s="36">
        <v>371.85</v>
      </c>
      <c r="I17" s="36">
        <v>743.7</v>
      </c>
      <c r="J17" s="38"/>
      <c r="L17" s="40"/>
      <c r="M17" s="41"/>
    </row>
    <row r="18" spans="1:13" s="39" customFormat="1" ht="28.5" customHeight="1" x14ac:dyDescent="0.3">
      <c r="A18" s="32" t="s">
        <v>27</v>
      </c>
      <c r="B18" s="33" t="s">
        <v>28</v>
      </c>
      <c r="C18" s="33" t="s">
        <v>101</v>
      </c>
      <c r="D18" s="34" t="s">
        <v>102</v>
      </c>
      <c r="E18" s="35">
        <v>1</v>
      </c>
      <c r="F18" s="36">
        <v>1399</v>
      </c>
      <c r="G18" s="37">
        <v>0.63</v>
      </c>
      <c r="H18" s="36">
        <v>517.63</v>
      </c>
      <c r="I18" s="36">
        <v>517.63</v>
      </c>
      <c r="J18" s="38"/>
      <c r="M18" s="41"/>
    </row>
    <row r="19" spans="1:13" s="39" customFormat="1" ht="28.5" customHeight="1" x14ac:dyDescent="0.3">
      <c r="A19" s="32" t="s">
        <v>29</v>
      </c>
      <c r="B19" s="33" t="s">
        <v>30</v>
      </c>
      <c r="C19" s="33" t="s">
        <v>103</v>
      </c>
      <c r="D19" s="34" t="s">
        <v>104</v>
      </c>
      <c r="E19" s="35">
        <v>2</v>
      </c>
      <c r="F19" s="36">
        <v>1782</v>
      </c>
      <c r="G19" s="37">
        <v>0.63</v>
      </c>
      <c r="H19" s="36">
        <v>659.33999999999992</v>
      </c>
      <c r="I19" s="36">
        <v>1318.6799999999998</v>
      </c>
      <c r="J19" s="38"/>
      <c r="M19" s="41"/>
    </row>
    <row r="20" spans="1:13" s="39" customFormat="1" ht="28.5" customHeight="1" x14ac:dyDescent="0.3">
      <c r="A20" s="32" t="s">
        <v>31</v>
      </c>
      <c r="B20" s="33" t="s">
        <v>32</v>
      </c>
      <c r="C20" s="33" t="s">
        <v>105</v>
      </c>
      <c r="D20" s="34" t="s">
        <v>106</v>
      </c>
      <c r="E20" s="35">
        <v>2</v>
      </c>
      <c r="F20" s="36">
        <v>2689</v>
      </c>
      <c r="G20" s="37">
        <v>0.63</v>
      </c>
      <c r="H20" s="36">
        <v>994.93000000000006</v>
      </c>
      <c r="I20" s="36">
        <v>1989.8600000000001</v>
      </c>
      <c r="J20" s="38"/>
      <c r="M20" s="41"/>
    </row>
    <row r="21" spans="1:13" s="39" customFormat="1" ht="28.5" customHeight="1" x14ac:dyDescent="0.3">
      <c r="A21" s="32" t="s">
        <v>33</v>
      </c>
      <c r="B21" s="33" t="s">
        <v>34</v>
      </c>
      <c r="C21" s="33" t="s">
        <v>107</v>
      </c>
      <c r="D21" s="34" t="s">
        <v>108</v>
      </c>
      <c r="E21" s="35">
        <v>19</v>
      </c>
      <c r="F21" s="36">
        <v>4201</v>
      </c>
      <c r="G21" s="37">
        <v>0.63</v>
      </c>
      <c r="H21" s="36">
        <v>1554.37</v>
      </c>
      <c r="I21" s="36">
        <v>29533.03</v>
      </c>
      <c r="J21" s="38"/>
      <c r="M21" s="41"/>
    </row>
    <row r="22" spans="1:13" s="39" customFormat="1" ht="28.5" customHeight="1" x14ac:dyDescent="0.3">
      <c r="A22" s="32" t="s">
        <v>35</v>
      </c>
      <c r="B22" s="33" t="s">
        <v>36</v>
      </c>
      <c r="C22" s="33" t="s">
        <v>109</v>
      </c>
      <c r="D22" s="34" t="s">
        <v>110</v>
      </c>
      <c r="E22" s="35">
        <v>6</v>
      </c>
      <c r="F22" s="36">
        <v>1502</v>
      </c>
      <c r="G22" s="37">
        <v>0.63</v>
      </c>
      <c r="H22" s="36">
        <v>555.74</v>
      </c>
      <c r="I22" s="36">
        <v>3334.44</v>
      </c>
      <c r="J22" s="38"/>
      <c r="M22" s="41"/>
    </row>
    <row r="23" spans="1:13" s="39" customFormat="1" ht="28.5" customHeight="1" x14ac:dyDescent="0.3">
      <c r="A23" s="32" t="s">
        <v>37</v>
      </c>
      <c r="B23" s="33" t="s">
        <v>38</v>
      </c>
      <c r="C23" s="33" t="s">
        <v>111</v>
      </c>
      <c r="D23" s="34" t="s">
        <v>112</v>
      </c>
      <c r="E23" s="35">
        <v>3</v>
      </c>
      <c r="F23" s="36">
        <v>1763</v>
      </c>
      <c r="G23" s="37">
        <v>0.63</v>
      </c>
      <c r="H23" s="36">
        <v>652.30999999999995</v>
      </c>
      <c r="I23" s="36">
        <v>1956.9299999999998</v>
      </c>
      <c r="J23" s="38"/>
      <c r="M23" s="41"/>
    </row>
    <row r="24" spans="1:13" s="39" customFormat="1" ht="28.5" customHeight="1" x14ac:dyDescent="0.3">
      <c r="A24" s="32" t="s">
        <v>39</v>
      </c>
      <c r="B24" s="33" t="s">
        <v>40</v>
      </c>
      <c r="C24" s="33" t="s">
        <v>113</v>
      </c>
      <c r="D24" s="34" t="s">
        <v>114</v>
      </c>
      <c r="E24" s="35">
        <v>3</v>
      </c>
      <c r="F24" s="36">
        <v>2632</v>
      </c>
      <c r="G24" s="37">
        <v>0.63</v>
      </c>
      <c r="H24" s="36">
        <v>973.83999999999992</v>
      </c>
      <c r="I24" s="36">
        <v>2921.5199999999995</v>
      </c>
      <c r="J24" s="38"/>
      <c r="M24" s="41"/>
    </row>
    <row r="25" spans="1:13" s="39" customFormat="1" ht="28.5" customHeight="1" x14ac:dyDescent="0.3">
      <c r="A25" s="32" t="s">
        <v>41</v>
      </c>
      <c r="B25" s="33" t="s">
        <v>42</v>
      </c>
      <c r="C25" s="33" t="s">
        <v>115</v>
      </c>
      <c r="D25" s="34" t="s">
        <v>116</v>
      </c>
      <c r="E25" s="35">
        <v>8</v>
      </c>
      <c r="F25" s="36">
        <v>5926</v>
      </c>
      <c r="G25" s="37">
        <v>0.63</v>
      </c>
      <c r="H25" s="36">
        <v>2192.62</v>
      </c>
      <c r="I25" s="36">
        <v>17540.96</v>
      </c>
      <c r="J25" s="38"/>
      <c r="M25" s="41"/>
    </row>
    <row r="26" spans="1:13" s="39" customFormat="1" ht="28.5" customHeight="1" x14ac:dyDescent="0.3">
      <c r="A26" s="32" t="s">
        <v>43</v>
      </c>
      <c r="B26" s="33" t="s">
        <v>44</v>
      </c>
      <c r="C26" s="33" t="s">
        <v>117</v>
      </c>
      <c r="D26" s="34" t="s">
        <v>118</v>
      </c>
      <c r="E26" s="35">
        <v>12</v>
      </c>
      <c r="F26" s="36">
        <v>184</v>
      </c>
      <c r="G26" s="37">
        <v>0.63</v>
      </c>
      <c r="H26" s="36">
        <v>68.08</v>
      </c>
      <c r="I26" s="36">
        <v>816.96</v>
      </c>
      <c r="J26" s="38"/>
      <c r="M26" s="41"/>
    </row>
    <row r="27" spans="1:13" s="39" customFormat="1" ht="28.5" customHeight="1" x14ac:dyDescent="0.3">
      <c r="A27" s="32" t="s">
        <v>45</v>
      </c>
      <c r="B27" s="33" t="s">
        <v>46</v>
      </c>
      <c r="C27" s="33" t="s">
        <v>119</v>
      </c>
      <c r="D27" s="34" t="s">
        <v>120</v>
      </c>
      <c r="E27" s="35">
        <v>9</v>
      </c>
      <c r="F27" s="36">
        <v>184</v>
      </c>
      <c r="G27" s="37">
        <v>0.63</v>
      </c>
      <c r="H27" s="36">
        <v>68.08</v>
      </c>
      <c r="I27" s="36">
        <v>612.72</v>
      </c>
      <c r="J27" s="38"/>
      <c r="M27" s="41"/>
    </row>
    <row r="28" spans="1:13" s="39" customFormat="1" ht="28.5" customHeight="1" x14ac:dyDescent="0.3">
      <c r="A28" s="32" t="s">
        <v>47</v>
      </c>
      <c r="B28" s="33" t="s">
        <v>48</v>
      </c>
      <c r="C28" s="33" t="s">
        <v>121</v>
      </c>
      <c r="D28" s="34" t="s">
        <v>122</v>
      </c>
      <c r="E28" s="35">
        <v>6</v>
      </c>
      <c r="F28" s="36">
        <v>184</v>
      </c>
      <c r="G28" s="37">
        <v>0.63</v>
      </c>
      <c r="H28" s="36">
        <v>68.08</v>
      </c>
      <c r="I28" s="36">
        <v>408.48</v>
      </c>
      <c r="J28" s="38"/>
      <c r="M28" s="41"/>
    </row>
    <row r="29" spans="1:13" s="39" customFormat="1" ht="28.5" customHeight="1" x14ac:dyDescent="0.3">
      <c r="A29" s="32" t="s">
        <v>49</v>
      </c>
      <c r="B29" s="33" t="s">
        <v>50</v>
      </c>
      <c r="C29" s="33" t="s">
        <v>123</v>
      </c>
      <c r="D29" s="34" t="s">
        <v>124</v>
      </c>
      <c r="E29" s="35">
        <v>9</v>
      </c>
      <c r="F29" s="36">
        <v>184</v>
      </c>
      <c r="G29" s="37">
        <v>0.63</v>
      </c>
      <c r="H29" s="36">
        <v>68.08</v>
      </c>
      <c r="I29" s="36">
        <v>612.72</v>
      </c>
      <c r="J29" s="38"/>
      <c r="M29" s="41"/>
    </row>
    <row r="30" spans="1:13" s="39" customFormat="1" ht="28.5" customHeight="1" x14ac:dyDescent="0.3">
      <c r="A30" s="32" t="s">
        <v>51</v>
      </c>
      <c r="B30" s="33" t="s">
        <v>52</v>
      </c>
      <c r="C30" s="33" t="s">
        <v>125</v>
      </c>
      <c r="D30" s="34" t="s">
        <v>126</v>
      </c>
      <c r="E30" s="35">
        <v>3</v>
      </c>
      <c r="F30" s="36">
        <v>184</v>
      </c>
      <c r="G30" s="37">
        <v>0.63</v>
      </c>
      <c r="H30" s="36">
        <v>68.08</v>
      </c>
      <c r="I30" s="36">
        <v>204.24</v>
      </c>
      <c r="J30" s="38"/>
      <c r="M30" s="41"/>
    </row>
    <row r="31" spans="1:13" s="39" customFormat="1" ht="28.5" customHeight="1" x14ac:dyDescent="0.3">
      <c r="A31" s="32" t="s">
        <v>53</v>
      </c>
      <c r="B31" s="33" t="s">
        <v>54</v>
      </c>
      <c r="C31" s="33" t="s">
        <v>127</v>
      </c>
      <c r="D31" s="34" t="s">
        <v>128</v>
      </c>
      <c r="E31" s="35">
        <v>24</v>
      </c>
      <c r="F31" s="36">
        <v>184</v>
      </c>
      <c r="G31" s="37">
        <v>0.63</v>
      </c>
      <c r="H31" s="36">
        <v>68.08</v>
      </c>
      <c r="I31" s="36">
        <v>1633.92</v>
      </c>
      <c r="J31" s="38"/>
      <c r="M31" s="41"/>
    </row>
    <row r="32" spans="1:13" s="39" customFormat="1" ht="28.5" customHeight="1" x14ac:dyDescent="0.3">
      <c r="A32" s="32" t="s">
        <v>55</v>
      </c>
      <c r="B32" s="33" t="s">
        <v>56</v>
      </c>
      <c r="C32" s="33" t="s">
        <v>129</v>
      </c>
      <c r="D32" s="34" t="s">
        <v>130</v>
      </c>
      <c r="E32" s="35">
        <v>21</v>
      </c>
      <c r="F32" s="36">
        <v>1311</v>
      </c>
      <c r="G32" s="37">
        <v>0.63</v>
      </c>
      <c r="H32" s="36">
        <v>485.07000000000005</v>
      </c>
      <c r="I32" s="36">
        <v>10186.470000000001</v>
      </c>
      <c r="J32" s="38"/>
      <c r="M32" s="41"/>
    </row>
    <row r="33" spans="1:13" s="39" customFormat="1" ht="28.5" customHeight="1" x14ac:dyDescent="0.3">
      <c r="A33" s="32" t="s">
        <v>57</v>
      </c>
      <c r="B33" s="33"/>
      <c r="C33" s="33" t="s">
        <v>131</v>
      </c>
      <c r="D33" s="34" t="s">
        <v>131</v>
      </c>
      <c r="E33" s="35"/>
      <c r="F33" s="36" t="s">
        <v>131</v>
      </c>
      <c r="G33" s="37"/>
      <c r="H33" s="36" t="s">
        <v>131</v>
      </c>
      <c r="I33" s="36" t="s">
        <v>131</v>
      </c>
      <c r="J33" s="38"/>
      <c r="M33" s="41"/>
    </row>
    <row r="34" spans="1:13" s="39" customFormat="1" ht="28.5" customHeight="1" x14ac:dyDescent="0.3">
      <c r="A34" s="32" t="s">
        <v>58</v>
      </c>
      <c r="B34" s="33"/>
      <c r="C34" s="33" t="s">
        <v>131</v>
      </c>
      <c r="D34" s="34" t="s">
        <v>131</v>
      </c>
      <c r="E34" s="35"/>
      <c r="F34" s="36" t="s">
        <v>131</v>
      </c>
      <c r="G34" s="37"/>
      <c r="H34" s="36" t="s">
        <v>131</v>
      </c>
      <c r="I34" s="36" t="s">
        <v>131</v>
      </c>
      <c r="J34" s="38"/>
      <c r="M34" s="41"/>
    </row>
    <row r="35" spans="1:13" s="39" customFormat="1" ht="28.5" customHeight="1" x14ac:dyDescent="0.3">
      <c r="A35" s="32" t="s">
        <v>59</v>
      </c>
      <c r="B35" s="33"/>
      <c r="C35" s="33" t="s">
        <v>131</v>
      </c>
      <c r="D35" s="34" t="s">
        <v>131</v>
      </c>
      <c r="E35" s="35"/>
      <c r="F35" s="36" t="s">
        <v>131</v>
      </c>
      <c r="G35" s="37"/>
      <c r="H35" s="36" t="s">
        <v>131</v>
      </c>
      <c r="I35" s="36" t="s">
        <v>131</v>
      </c>
      <c r="J35" s="38"/>
      <c r="M35" s="41"/>
    </row>
    <row r="36" spans="1:13" s="39" customFormat="1" ht="28.5" customHeight="1" x14ac:dyDescent="0.3">
      <c r="A36" s="32" t="s">
        <v>60</v>
      </c>
      <c r="B36" s="33"/>
      <c r="C36" s="33" t="s">
        <v>131</v>
      </c>
      <c r="D36" s="34" t="s">
        <v>131</v>
      </c>
      <c r="E36" s="35"/>
      <c r="F36" s="36" t="s">
        <v>131</v>
      </c>
      <c r="G36" s="37"/>
      <c r="H36" s="36" t="s">
        <v>131</v>
      </c>
      <c r="I36" s="36" t="s">
        <v>131</v>
      </c>
      <c r="J36" s="38"/>
      <c r="M36" s="41"/>
    </row>
    <row r="37" spans="1:13" s="39" customFormat="1" ht="28.5" customHeight="1" x14ac:dyDescent="0.3">
      <c r="A37" s="32" t="s">
        <v>61</v>
      </c>
      <c r="B37" s="42" t="s">
        <v>62</v>
      </c>
      <c r="C37" s="42" t="s">
        <v>132</v>
      </c>
      <c r="D37" s="43" t="s">
        <v>133</v>
      </c>
      <c r="E37" s="44">
        <v>2</v>
      </c>
      <c r="F37" s="45">
        <v>111</v>
      </c>
      <c r="G37" s="46">
        <v>0.63</v>
      </c>
      <c r="H37" s="45">
        <v>41.069999999999993</v>
      </c>
      <c r="I37" s="45">
        <v>82.139999999999986</v>
      </c>
      <c r="J37" s="47"/>
      <c r="M37" s="41"/>
    </row>
    <row r="38" spans="1:13" s="39" customFormat="1" ht="28.5" customHeight="1" x14ac:dyDescent="0.3">
      <c r="A38" s="32" t="s">
        <v>63</v>
      </c>
      <c r="B38" s="42" t="s">
        <v>64</v>
      </c>
      <c r="C38" s="42" t="s">
        <v>134</v>
      </c>
      <c r="D38" s="43" t="s">
        <v>135</v>
      </c>
      <c r="E38" s="44">
        <v>1</v>
      </c>
      <c r="F38" s="45">
        <v>125</v>
      </c>
      <c r="G38" s="46">
        <v>0.63</v>
      </c>
      <c r="H38" s="45">
        <v>46.25</v>
      </c>
      <c r="I38" s="45">
        <v>46.25</v>
      </c>
      <c r="J38" s="47"/>
      <c r="M38" s="41"/>
    </row>
    <row r="39" spans="1:13" s="39" customFormat="1" ht="28.5" customHeight="1" x14ac:dyDescent="0.3">
      <c r="A39" s="32" t="s">
        <v>65</v>
      </c>
      <c r="B39" s="42" t="s">
        <v>66</v>
      </c>
      <c r="C39" s="42" t="s">
        <v>136</v>
      </c>
      <c r="D39" s="43" t="s">
        <v>137</v>
      </c>
      <c r="E39" s="44">
        <v>2</v>
      </c>
      <c r="F39" s="45">
        <v>177</v>
      </c>
      <c r="G39" s="46">
        <v>0.63</v>
      </c>
      <c r="H39" s="45">
        <v>65.489999999999995</v>
      </c>
      <c r="I39" s="45">
        <v>130.97999999999999</v>
      </c>
      <c r="J39" s="47"/>
      <c r="M39" s="41"/>
    </row>
    <row r="40" spans="1:13" s="39" customFormat="1" ht="28.5" customHeight="1" x14ac:dyDescent="0.3">
      <c r="A40" s="32" t="s">
        <v>67</v>
      </c>
      <c r="B40" s="42" t="s">
        <v>68</v>
      </c>
      <c r="C40" s="42" t="s">
        <v>138</v>
      </c>
      <c r="D40" s="43" t="s">
        <v>139</v>
      </c>
      <c r="E40" s="44">
        <v>2</v>
      </c>
      <c r="F40" s="45">
        <v>226</v>
      </c>
      <c r="G40" s="46">
        <v>0.63</v>
      </c>
      <c r="H40" s="45">
        <v>83.62</v>
      </c>
      <c r="I40" s="45">
        <v>167.24</v>
      </c>
      <c r="J40" s="47"/>
      <c r="M40" s="41"/>
    </row>
    <row r="41" spans="1:13" s="39" customFormat="1" ht="28.5" customHeight="1" x14ac:dyDescent="0.3">
      <c r="A41" s="32" t="s">
        <v>69</v>
      </c>
      <c r="B41" s="42" t="s">
        <v>70</v>
      </c>
      <c r="C41" s="42" t="s">
        <v>140</v>
      </c>
      <c r="D41" s="43" t="s">
        <v>141</v>
      </c>
      <c r="E41" s="44">
        <v>3</v>
      </c>
      <c r="F41" s="45">
        <v>273</v>
      </c>
      <c r="G41" s="46">
        <v>0.63</v>
      </c>
      <c r="H41" s="45">
        <v>101.00999999999999</v>
      </c>
      <c r="I41" s="45">
        <v>303.02999999999997</v>
      </c>
      <c r="J41" s="47"/>
      <c r="M41" s="41"/>
    </row>
    <row r="42" spans="1:13" s="39" customFormat="1" ht="28.5" customHeight="1" x14ac:dyDescent="0.3">
      <c r="A42" s="32" t="s">
        <v>71</v>
      </c>
      <c r="B42" s="42" t="s">
        <v>72</v>
      </c>
      <c r="C42" s="42" t="s">
        <v>142</v>
      </c>
      <c r="D42" s="43" t="s">
        <v>143</v>
      </c>
      <c r="E42" s="44">
        <v>8</v>
      </c>
      <c r="F42" s="45">
        <v>354</v>
      </c>
      <c r="G42" s="46">
        <v>0.63</v>
      </c>
      <c r="H42" s="45">
        <v>130.97999999999999</v>
      </c>
      <c r="I42" s="45">
        <v>1047.8399999999999</v>
      </c>
      <c r="J42" s="47"/>
      <c r="M42" s="41"/>
    </row>
    <row r="43" spans="1:13" s="39" customFormat="1" ht="28.5" customHeight="1" x14ac:dyDescent="0.3">
      <c r="A43" s="32" t="s">
        <v>73</v>
      </c>
      <c r="B43" s="42" t="s">
        <v>74</v>
      </c>
      <c r="C43" s="42" t="s">
        <v>144</v>
      </c>
      <c r="D43" s="43" t="s">
        <v>145</v>
      </c>
      <c r="E43" s="44">
        <v>6</v>
      </c>
      <c r="F43" s="45">
        <v>523</v>
      </c>
      <c r="G43" s="46">
        <v>0.63</v>
      </c>
      <c r="H43" s="45">
        <v>193.51</v>
      </c>
      <c r="I43" s="45">
        <v>1161.06</v>
      </c>
      <c r="J43" s="47"/>
      <c r="M43" s="41"/>
    </row>
    <row r="44" spans="1:13" s="39" customFormat="1" ht="28.5" customHeight="1" x14ac:dyDescent="0.3">
      <c r="A44" s="32" t="s">
        <v>75</v>
      </c>
      <c r="B44" s="42" t="s">
        <v>76</v>
      </c>
      <c r="C44" s="42" t="s">
        <v>146</v>
      </c>
      <c r="D44" s="43" t="s">
        <v>147</v>
      </c>
      <c r="E44" s="44">
        <v>1</v>
      </c>
      <c r="F44" s="45">
        <v>467</v>
      </c>
      <c r="G44" s="46">
        <v>0.63</v>
      </c>
      <c r="H44" s="45">
        <v>172.79000000000002</v>
      </c>
      <c r="I44" s="45">
        <v>172.79000000000002</v>
      </c>
      <c r="J44" s="47"/>
      <c r="M44" s="41"/>
    </row>
    <row r="45" spans="1:13" s="39" customFormat="1" ht="28.5" customHeight="1" x14ac:dyDescent="0.3">
      <c r="A45" s="32" t="s">
        <v>77</v>
      </c>
      <c r="B45" s="42" t="s">
        <v>78</v>
      </c>
      <c r="C45" s="42" t="s">
        <v>148</v>
      </c>
      <c r="D45" s="43" t="s">
        <v>149</v>
      </c>
      <c r="E45" s="44">
        <v>1</v>
      </c>
      <c r="F45" s="45">
        <v>731</v>
      </c>
      <c r="G45" s="46">
        <v>0.63</v>
      </c>
      <c r="H45" s="45">
        <v>270.46999999999997</v>
      </c>
      <c r="I45" s="45">
        <v>270.46999999999997</v>
      </c>
      <c r="J45" s="47"/>
      <c r="M45" s="41"/>
    </row>
    <row r="46" spans="1:13" s="39" customFormat="1" ht="28.5" customHeight="1" x14ac:dyDescent="0.3">
      <c r="A46" s="32" t="s">
        <v>79</v>
      </c>
      <c r="B46" s="42"/>
      <c r="C46" s="42" t="str">
        <f>IF(B46&lt;&gt;"",VLOOKUP(B46,[1]Sayfa1!A:B,2,FALSE),"")</f>
        <v/>
      </c>
      <c r="D46" s="43" t="str">
        <f>IF(C46&lt;&gt;"",VLOOKUP(C46,[1]Sayfa1!B:C,2,FALSE),"")</f>
        <v/>
      </c>
      <c r="E46" s="44"/>
      <c r="F46" s="45" t="str">
        <f>IF($J$5&lt;&gt;"",IF(C46&lt;&gt;"",VLOOKUP(C46,[1]Sayfa1!B:E,3,FALSE),""),IF(C46&lt;&gt;"",VLOOKUP(C46,[1]Sayfa1!B:F,4,FALSE),""))</f>
        <v/>
      </c>
      <c r="G46" s="46"/>
      <c r="H46" s="45" t="str">
        <f t="shared" ref="H18:H52" si="0">IF(G46&lt;&gt;"",F46-F46*G46,"")</f>
        <v/>
      </c>
      <c r="I46" s="45" t="str">
        <f t="shared" ref="I18:I52" si="1">IF(H46&lt;&gt;"",H46*E46,"")</f>
        <v/>
      </c>
      <c r="J46" s="47"/>
      <c r="M46" s="41"/>
    </row>
    <row r="47" spans="1:13" s="39" customFormat="1" ht="28.5" customHeight="1" x14ac:dyDescent="0.3">
      <c r="A47" s="32" t="s">
        <v>80</v>
      </c>
      <c r="B47" s="42"/>
      <c r="C47" s="42" t="str">
        <f>IF(B47&lt;&gt;"",VLOOKUP(B47,[1]Sayfa1!A:B,2,FALSE),"")</f>
        <v/>
      </c>
      <c r="D47" s="43" t="str">
        <f>IF(C47&lt;&gt;"",VLOOKUP(C47,[1]Sayfa1!B:C,2,FALSE),"")</f>
        <v/>
      </c>
      <c r="E47" s="44"/>
      <c r="F47" s="45" t="str">
        <f>IF($J$5&lt;&gt;"",IF(C47&lt;&gt;"",VLOOKUP(C47,[1]Sayfa1!B:E,3,FALSE),""),IF(C47&lt;&gt;"",VLOOKUP(C47,[1]Sayfa1!B:F,4,FALSE),""))</f>
        <v/>
      </c>
      <c r="G47" s="46"/>
      <c r="H47" s="45" t="str">
        <f t="shared" si="0"/>
        <v/>
      </c>
      <c r="I47" s="45" t="str">
        <f t="shared" si="1"/>
        <v/>
      </c>
      <c r="J47" s="47"/>
      <c r="M47" s="41"/>
    </row>
    <row r="48" spans="1:13" s="39" customFormat="1" ht="28.15" customHeight="1" x14ac:dyDescent="0.3">
      <c r="A48" s="32" t="s">
        <v>81</v>
      </c>
      <c r="B48" s="42"/>
      <c r="C48" s="42" t="str">
        <f>IF(B48&lt;&gt;"",VLOOKUP(B48,[1]Sayfa1!A:B,2,FALSE),"")</f>
        <v/>
      </c>
      <c r="D48" s="43" t="str">
        <f>IF(C48&lt;&gt;"",VLOOKUP(C48,[1]Sayfa1!B:C,2,FALSE),"")</f>
        <v/>
      </c>
      <c r="E48" s="44"/>
      <c r="F48" s="45" t="str">
        <f>IF($J$5&lt;&gt;"",IF(C48&lt;&gt;"",VLOOKUP(C48,[1]Sayfa1!B:E,3,FALSE),""),IF(C48&lt;&gt;"",VLOOKUP(C48,[1]Sayfa1!B:F,4,FALSE),""))</f>
        <v/>
      </c>
      <c r="G48" s="46"/>
      <c r="H48" s="45" t="str">
        <f t="shared" si="0"/>
        <v/>
      </c>
      <c r="I48" s="45" t="str">
        <f t="shared" si="1"/>
        <v/>
      </c>
      <c r="J48" s="47"/>
      <c r="M48" s="41"/>
    </row>
    <row r="49" spans="1:13" s="39" customFormat="1" ht="28.5" customHeight="1" x14ac:dyDescent="0.3">
      <c r="A49" s="32" t="s">
        <v>82</v>
      </c>
      <c r="B49" s="42"/>
      <c r="C49" s="42" t="str">
        <f>IF(B49&lt;&gt;"",VLOOKUP(B49,[1]Sayfa1!A:B,2,FALSE),"")</f>
        <v/>
      </c>
      <c r="D49" s="43" t="str">
        <f>IF(C49&lt;&gt;"",VLOOKUP(C49,[1]Sayfa1!B:C,2,FALSE),"")</f>
        <v/>
      </c>
      <c r="E49" s="44"/>
      <c r="F49" s="45" t="str">
        <f>IF($J$5&lt;&gt;"",IF(C49&lt;&gt;"",VLOOKUP(C49,[1]Sayfa1!B:E,3,FALSE),""),IF(C49&lt;&gt;"",VLOOKUP(C49,[1]Sayfa1!B:F,4,FALSE),""))</f>
        <v/>
      </c>
      <c r="G49" s="46"/>
      <c r="H49" s="45" t="str">
        <f t="shared" si="0"/>
        <v/>
      </c>
      <c r="I49" s="45" t="str">
        <f t="shared" si="1"/>
        <v/>
      </c>
      <c r="J49" s="47"/>
      <c r="M49" s="41"/>
    </row>
    <row r="50" spans="1:13" s="39" customFormat="1" ht="28.5" customHeight="1" x14ac:dyDescent="0.3">
      <c r="A50" s="32" t="s">
        <v>83</v>
      </c>
      <c r="B50" s="42"/>
      <c r="C50" s="42" t="str">
        <f>IF(B50&lt;&gt;"",VLOOKUP(B50,[1]Sayfa1!A:B,2,FALSE),"")</f>
        <v/>
      </c>
      <c r="D50" s="43" t="str">
        <f>IF(C50&lt;&gt;"",VLOOKUP(C50,[1]Sayfa1!B:C,2,FALSE),"")</f>
        <v/>
      </c>
      <c r="E50" s="44"/>
      <c r="F50" s="45" t="str">
        <f>IF($J$5&lt;&gt;"",IF(C50&lt;&gt;"",VLOOKUP(C50,[1]Sayfa1!B:E,3,FALSE),""),IF(C50&lt;&gt;"",VLOOKUP(C50,[1]Sayfa1!B:F,4,FALSE),""))</f>
        <v/>
      </c>
      <c r="G50" s="46"/>
      <c r="H50" s="45" t="str">
        <f t="shared" si="0"/>
        <v/>
      </c>
      <c r="I50" s="45" t="str">
        <f t="shared" si="1"/>
        <v/>
      </c>
      <c r="J50" s="47"/>
      <c r="M50" s="41"/>
    </row>
    <row r="51" spans="1:13" s="39" customFormat="1" ht="28.5" customHeight="1" x14ac:dyDescent="0.3">
      <c r="A51" s="32" t="s">
        <v>84</v>
      </c>
      <c r="B51" s="42"/>
      <c r="C51" s="42" t="str">
        <f>IF(B51&lt;&gt;"",VLOOKUP(B51,[1]Sayfa1!A:B,2,FALSE),"")</f>
        <v/>
      </c>
      <c r="D51" s="43" t="str">
        <f>IF(C51&lt;&gt;"",VLOOKUP(C51,[1]Sayfa1!B:C,2,FALSE),"")</f>
        <v/>
      </c>
      <c r="E51" s="44"/>
      <c r="F51" s="45" t="str">
        <f>IF($J$5&lt;&gt;"",IF(C51&lt;&gt;"",VLOOKUP(C51,[1]Sayfa1!B:E,3,FALSE),""),IF(C51&lt;&gt;"",VLOOKUP(C51,[1]Sayfa1!B:F,4,FALSE),""))</f>
        <v/>
      </c>
      <c r="G51" s="46"/>
      <c r="H51" s="45" t="str">
        <f t="shared" si="0"/>
        <v/>
      </c>
      <c r="I51" s="45" t="str">
        <f t="shared" si="1"/>
        <v/>
      </c>
      <c r="J51" s="47"/>
      <c r="M51" s="41"/>
    </row>
    <row r="52" spans="1:13" s="39" customFormat="1" ht="28.5" customHeight="1" x14ac:dyDescent="0.3">
      <c r="A52" s="32" t="s">
        <v>85</v>
      </c>
      <c r="B52" s="33"/>
      <c r="C52" s="33" t="str">
        <f>IF(B52&lt;&gt;"",VLOOKUP(B52,[1]Sayfa1!A:B,2,FALSE),"")</f>
        <v/>
      </c>
      <c r="D52" s="34" t="str">
        <f>IF(C52&lt;&gt;"",VLOOKUP(C52,[1]Sayfa1!B:C,2,FALSE),"")</f>
        <v/>
      </c>
      <c r="E52" s="35"/>
      <c r="F52" s="36" t="str">
        <f>IF($J$5&lt;&gt;"",IF(C52&lt;&gt;"",VLOOKUP(C52,[1]Sayfa1!B:E,3,FALSE),""),IF(C52&lt;&gt;"",VLOOKUP(C52,[1]Sayfa1!B:F,4,FALSE),""))</f>
        <v/>
      </c>
      <c r="G52" s="37"/>
      <c r="H52" s="48" t="str">
        <f t="shared" si="0"/>
        <v/>
      </c>
      <c r="I52" s="48" t="str">
        <f t="shared" si="1"/>
        <v/>
      </c>
      <c r="J52" s="38"/>
      <c r="M52" s="41"/>
    </row>
    <row r="53" spans="1:13" s="22" customFormat="1" ht="24" customHeight="1" x14ac:dyDescent="0.3">
      <c r="A53" s="49"/>
      <c r="B53" s="49"/>
      <c r="C53" s="49"/>
      <c r="D53" s="49"/>
      <c r="E53" s="49"/>
      <c r="F53" s="50"/>
      <c r="G53" s="51"/>
      <c r="H53" s="52" t="s">
        <v>86</v>
      </c>
      <c r="I53" s="53">
        <f>SUM(I17:I36)</f>
        <v>74332.260000000009</v>
      </c>
      <c r="J53" s="54">
        <f>SUM(I37:I51)</f>
        <v>3381.7999999999997</v>
      </c>
    </row>
    <row r="54" spans="1:13" s="22" customFormat="1" ht="24" customHeight="1" x14ac:dyDescent="0.3">
      <c r="A54" s="49"/>
      <c r="B54" s="49"/>
      <c r="C54" s="49"/>
      <c r="D54" s="49"/>
      <c r="E54" s="49"/>
      <c r="F54" s="50"/>
      <c r="G54" s="51"/>
      <c r="H54" s="52" t="s">
        <v>87</v>
      </c>
      <c r="I54" s="53">
        <f>PRODUCT(I53,0.2)</f>
        <v>14866.452000000003</v>
      </c>
      <c r="J54" s="54">
        <f>PRODUCT(J53,0.2)</f>
        <v>676.36</v>
      </c>
    </row>
    <row r="55" spans="1:13" s="22" customFormat="1" ht="24" customHeight="1" x14ac:dyDescent="0.3">
      <c r="A55" s="49"/>
      <c r="B55" s="49"/>
      <c r="C55" s="49"/>
      <c r="D55" s="49"/>
      <c r="E55" s="49"/>
      <c r="F55" s="50"/>
      <c r="G55" s="51"/>
      <c r="H55" s="55" t="s">
        <v>88</v>
      </c>
      <c r="I55" s="53">
        <f>I53+I54</f>
        <v>89198.712000000014</v>
      </c>
      <c r="J55" s="56">
        <f>SUM(J53:J54)</f>
        <v>4058.16</v>
      </c>
    </row>
    <row r="56" spans="1:13" s="22" customFormat="1" ht="24" customHeight="1" x14ac:dyDescent="0.3">
      <c r="A56" s="57"/>
      <c r="B56" s="57"/>
      <c r="C56" s="57"/>
      <c r="D56" s="57"/>
      <c r="E56" s="57"/>
      <c r="F56" s="58"/>
      <c r="G56" s="59"/>
      <c r="H56" s="57"/>
      <c r="I56" s="57"/>
      <c r="J56" s="60"/>
    </row>
    <row r="57" spans="1:13" s="22" customFormat="1" ht="15.75" customHeight="1" x14ac:dyDescent="0.3">
      <c r="A57" s="49"/>
      <c r="B57" s="49"/>
      <c r="C57" s="49"/>
      <c r="D57" s="49"/>
      <c r="E57" s="49"/>
      <c r="F57" s="50"/>
      <c r="G57" s="51"/>
      <c r="H57" s="61"/>
      <c r="I57" s="49"/>
      <c r="J57" s="60"/>
    </row>
    <row r="58" spans="1:13" s="22" customFormat="1" ht="22.5" customHeight="1" x14ac:dyDescent="0.3">
      <c r="A58" s="62" t="s">
        <v>89</v>
      </c>
      <c r="B58" s="63"/>
      <c r="C58" s="64"/>
      <c r="D58" s="65"/>
      <c r="E58" s="66"/>
      <c r="F58" s="67"/>
      <c r="G58" s="68" t="s">
        <v>90</v>
      </c>
      <c r="H58" s="68"/>
      <c r="I58" s="68"/>
      <c r="J58" s="60"/>
    </row>
    <row r="59" spans="1:13" s="22" customFormat="1" ht="22.5" customHeight="1" x14ac:dyDescent="0.25">
      <c r="A59" s="69" t="s">
        <v>91</v>
      </c>
      <c r="B59" s="70"/>
      <c r="C59" s="71" t="s">
        <v>92</v>
      </c>
      <c r="D59" s="72"/>
      <c r="E59" s="66"/>
      <c r="F59" s="67"/>
      <c r="G59" s="73"/>
      <c r="H59" s="73"/>
      <c r="I59" s="73"/>
      <c r="J59" s="60"/>
    </row>
    <row r="60" spans="1:13" s="22" customFormat="1" ht="22.5" customHeight="1" x14ac:dyDescent="0.25">
      <c r="A60" s="69" t="s">
        <v>93</v>
      </c>
      <c r="B60" s="70"/>
      <c r="C60" s="74" t="s">
        <v>94</v>
      </c>
      <c r="D60" s="75"/>
      <c r="E60" s="66"/>
      <c r="F60" s="67"/>
      <c r="G60" s="73"/>
      <c r="H60" s="73"/>
      <c r="I60" s="73"/>
      <c r="J60" s="76"/>
    </row>
    <row r="61" spans="1:13" s="22" customFormat="1" ht="20.25" customHeight="1" x14ac:dyDescent="0.25">
      <c r="A61" s="69" t="s">
        <v>95</v>
      </c>
      <c r="B61" s="70"/>
      <c r="C61" s="77"/>
      <c r="D61" s="78"/>
      <c r="E61" s="66"/>
      <c r="F61" s="67"/>
      <c r="G61" s="73"/>
      <c r="H61" s="73"/>
      <c r="I61" s="73"/>
      <c r="J61" s="76"/>
    </row>
    <row r="62" spans="1:13" s="22" customFormat="1" ht="22.5" customHeight="1" x14ac:dyDescent="0.25">
      <c r="A62" s="69" t="s">
        <v>96</v>
      </c>
      <c r="B62" s="70"/>
      <c r="C62" s="79" t="s">
        <v>97</v>
      </c>
      <c r="D62" s="80"/>
      <c r="E62" s="66"/>
      <c r="F62" s="67"/>
      <c r="G62" s="73"/>
      <c r="H62" s="73"/>
      <c r="I62" s="73"/>
      <c r="J62" s="76"/>
    </row>
    <row r="63" spans="1:13" s="22" customFormat="1" ht="22.5" customHeight="1" x14ac:dyDescent="0.25">
      <c r="A63" s="69" t="s">
        <v>98</v>
      </c>
      <c r="B63" s="69"/>
      <c r="C63" s="81"/>
      <c r="D63" s="81"/>
      <c r="E63" s="66"/>
      <c r="F63" s="67"/>
      <c r="G63" s="82"/>
      <c r="H63" s="76"/>
      <c r="I63" s="76"/>
      <c r="J63" s="76"/>
    </row>
    <row r="64" spans="1:13" s="22" customFormat="1" ht="12.6" hidden="1" customHeight="1" x14ac:dyDescent="0.25">
      <c r="A64" s="83"/>
      <c r="B64" s="84"/>
      <c r="C64" s="85"/>
      <c r="D64" s="86"/>
      <c r="E64" s="66"/>
      <c r="F64" s="67"/>
      <c r="G64" s="82"/>
      <c r="H64" s="76"/>
      <c r="I64" s="76"/>
      <c r="J64" s="76"/>
    </row>
    <row r="65" spans="1:10" s="22" customFormat="1" ht="22.15" hidden="1" customHeight="1" x14ac:dyDescent="0.25">
      <c r="A65" s="87"/>
      <c r="B65" s="87"/>
      <c r="C65" s="88"/>
      <c r="D65" s="88"/>
      <c r="E65" s="66"/>
      <c r="F65" s="67"/>
      <c r="G65" s="82"/>
      <c r="H65" s="76"/>
      <c r="I65" s="76"/>
      <c r="J65" s="76"/>
    </row>
    <row r="66" spans="1:10" ht="22.5" customHeight="1" x14ac:dyDescent="0.25">
      <c r="F66" s="67"/>
      <c r="G66" s="82"/>
      <c r="H66" s="76"/>
      <c r="I66" s="76"/>
      <c r="J66" s="76"/>
    </row>
  </sheetData>
  <dataConsolidate/>
  <mergeCells count="22">
    <mergeCell ref="C63:D63"/>
    <mergeCell ref="A15:J15"/>
    <mergeCell ref="C58:D58"/>
    <mergeCell ref="G58:I58"/>
    <mergeCell ref="C59:D59"/>
    <mergeCell ref="G59:I62"/>
    <mergeCell ref="C60:D60"/>
    <mergeCell ref="C61:D61"/>
    <mergeCell ref="C62:D62"/>
    <mergeCell ref="A11:D11"/>
    <mergeCell ref="E11:G11"/>
    <mergeCell ref="A12:D12"/>
    <mergeCell ref="E12:G12"/>
    <mergeCell ref="A13:D13"/>
    <mergeCell ref="A14:J14"/>
    <mergeCell ref="A1:I5"/>
    <mergeCell ref="A6:J6"/>
    <mergeCell ref="A7:J7"/>
    <mergeCell ref="A8:J8"/>
    <mergeCell ref="A9:J9"/>
    <mergeCell ref="A10:D10"/>
    <mergeCell ref="E10:G10"/>
  </mergeCells>
  <hyperlinks>
    <hyperlink ref="I12" r:id="rId1" xr:uid="{09779834-9E8F-41A9-A7DF-1C681C209B63}"/>
  </hyperlinks>
  <pageMargins left="0.70866141732283472" right="0.70866141732283472" top="0.74803149606299213" bottom="0.74803149606299213" header="0.31496062992125984" footer="0.31496062992125984"/>
  <pageSetup paperSize="9" scale="36" fitToHeight="0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TEKLİF</vt:lpstr>
      <vt:lpstr>TEKLİF!Yazdırma_Alanı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Tibcon Enerji 1</dc:creator>
  <cp:lastModifiedBy>Tibcon Enerji 1</cp:lastModifiedBy>
  <dcterms:created xsi:type="dcterms:W3CDTF">2026-02-02T14:19:16Z</dcterms:created>
  <dcterms:modified xsi:type="dcterms:W3CDTF">2026-02-02T14:19:45Z</dcterms:modified>
</cp:coreProperties>
</file>